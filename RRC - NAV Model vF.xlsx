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tedpham/Downloads/"/>
    </mc:Choice>
  </mc:AlternateContent>
  <xr:revisionPtr revIDLastSave="0" documentId="8_{4555E06B-7020-2240-A1C9-A31FD2587C8A}" xr6:coauthVersionLast="47" xr6:coauthVersionMax="47" xr10:uidLastSave="{00000000-0000-0000-0000-000000000000}"/>
  <bookViews>
    <workbookView xWindow="160" yWindow="760" windowWidth="29080" windowHeight="16760" activeTab="7" xr2:uid="{00000000-000D-0000-FFFF-FFFF00000000}"/>
  </bookViews>
  <sheets>
    <sheet name="Cover" sheetId="1" r:id="rId1"/>
    <sheet name="Inputs &amp; Assumptions" sheetId="2" r:id="rId2"/>
    <sheet name="Cost of Capital" sheetId="5" r:id="rId3"/>
    <sheet name="Comps" sheetId="4" r:id="rId4"/>
    <sheet name="Commodity Price Assumptions" sheetId="6" r:id="rId5"/>
    <sheet name="PD Reserves" sheetId="7" r:id="rId6"/>
    <sheet name="PUD Reserves" sheetId="8" r:id="rId7"/>
    <sheet name="NAV" sheetId="3" r:id="rId8"/>
    <sheet name="DCF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9" i="3" l="1"/>
  <c r="S15" i="6" s="1"/>
  <c r="O15" i="6"/>
  <c r="O16" i="6" s="1"/>
  <c r="O115" i="6" l="1"/>
  <c r="P115" i="6" s="1"/>
  <c r="Q115" i="6" s="1"/>
  <c r="R115" i="6" s="1"/>
  <c r="S115" i="6" s="1"/>
  <c r="O94" i="6"/>
  <c r="P94" i="6" s="1"/>
  <c r="Q94" i="6" s="1"/>
  <c r="R94" i="6" s="1"/>
  <c r="S94" i="6" s="1"/>
  <c r="O73" i="6"/>
  <c r="O71" i="6" s="1"/>
  <c r="O52" i="6"/>
  <c r="P52" i="6" s="1"/>
  <c r="Q52" i="6" s="1"/>
  <c r="R52" i="6" s="1"/>
  <c r="S52" i="6" s="1"/>
  <c r="P85" i="6"/>
  <c r="Q85" i="6" s="1"/>
  <c r="U47" i="3"/>
  <c r="U48" i="3" s="1"/>
  <c r="U49" i="3" s="1"/>
  <c r="U45" i="3"/>
  <c r="U44" i="3" s="1"/>
  <c r="U43" i="3" s="1"/>
  <c r="G81" i="5"/>
  <c r="L40" i="2" s="1"/>
  <c r="P51" i="9" s="1"/>
  <c r="L34" i="2"/>
  <c r="L37" i="2"/>
  <c r="H47" i="6" s="1"/>
  <c r="U34" i="3"/>
  <c r="U33" i="3" s="1"/>
  <c r="U32" i="3" s="1"/>
  <c r="U36" i="3"/>
  <c r="U37" i="3" s="1"/>
  <c r="U38" i="3" s="1"/>
  <c r="Z31" i="3"/>
  <c r="AA31" i="3" s="1"/>
  <c r="AB31" i="3" s="1"/>
  <c r="X31" i="3"/>
  <c r="W31" i="3" s="1"/>
  <c r="V31" i="3" s="1"/>
  <c r="O29" i="6"/>
  <c r="O27" i="6"/>
  <c r="P15" i="6"/>
  <c r="Q15" i="6" s="1"/>
  <c r="L89" i="2"/>
  <c r="L85" i="2"/>
  <c r="L86" i="2" s="1"/>
  <c r="J15" i="4"/>
  <c r="G13" i="2"/>
  <c r="N34" i="3"/>
  <c r="AO47" i="9"/>
  <c r="AP47" i="9"/>
  <c r="AQ47" i="9"/>
  <c r="AR47" i="9"/>
  <c r="AS47" i="9"/>
  <c r="AT47" i="9"/>
  <c r="AU37" i="9"/>
  <c r="AU38" i="9"/>
  <c r="AU39" i="9"/>
  <c r="AU32" i="9"/>
  <c r="AU31" i="9"/>
  <c r="AU30" i="9"/>
  <c r="AU21" i="9"/>
  <c r="AU25" i="9"/>
  <c r="AO24" i="9"/>
  <c r="AP24" i="9"/>
  <c r="AQ24" i="9"/>
  <c r="AR24" i="9"/>
  <c r="AS24" i="9"/>
  <c r="AT24" i="9"/>
  <c r="AU24" i="9"/>
  <c r="AU18" i="9"/>
  <c r="AU19" i="9"/>
  <c r="AU20" i="9"/>
  <c r="D2" i="9"/>
  <c r="D2" i="3"/>
  <c r="AQ118" i="8"/>
  <c r="AR118" i="8"/>
  <c r="AS118" i="8"/>
  <c r="AT118" i="8"/>
  <c r="AU118" i="8"/>
  <c r="AP97" i="8"/>
  <c r="AQ97" i="8"/>
  <c r="AR97" i="8"/>
  <c r="AS97" i="8"/>
  <c r="AT97" i="8"/>
  <c r="AU97" i="8"/>
  <c r="AP103" i="8"/>
  <c r="AQ103" i="8"/>
  <c r="AR103" i="8"/>
  <c r="AS103" i="8"/>
  <c r="AT103" i="8"/>
  <c r="AU103" i="8"/>
  <c r="AP109" i="8"/>
  <c r="AQ109" i="8"/>
  <c r="AR109" i="8"/>
  <c r="AS109" i="8"/>
  <c r="AT109" i="8"/>
  <c r="AU109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Z29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U29" i="8"/>
  <c r="V29" i="8"/>
  <c r="W29" i="8"/>
  <c r="X29" i="8"/>
  <c r="Y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E45" i="8"/>
  <c r="AF45" i="8"/>
  <c r="AG45" i="8"/>
  <c r="AH45" i="8"/>
  <c r="AI45" i="8"/>
  <c r="AJ45" i="8"/>
  <c r="AK45" i="8"/>
  <c r="AL45" i="8"/>
  <c r="AM45" i="8"/>
  <c r="AN45" i="8"/>
  <c r="AO45" i="8"/>
  <c r="AF46" i="8"/>
  <c r="AG46" i="8"/>
  <c r="AH46" i="8"/>
  <c r="AI46" i="8"/>
  <c r="AJ46" i="8"/>
  <c r="AK46" i="8"/>
  <c r="AL46" i="8"/>
  <c r="AM46" i="8"/>
  <c r="AN46" i="8"/>
  <c r="AO46" i="8"/>
  <c r="AG47" i="8"/>
  <c r="AH47" i="8"/>
  <c r="AI47" i="8"/>
  <c r="AJ47" i="8"/>
  <c r="AK47" i="8"/>
  <c r="AL47" i="8"/>
  <c r="AM47" i="8"/>
  <c r="AN47" i="8"/>
  <c r="AO47" i="8"/>
  <c r="AH48" i="8"/>
  <c r="AI48" i="8"/>
  <c r="AJ48" i="8"/>
  <c r="AK48" i="8"/>
  <c r="AL48" i="8"/>
  <c r="AM48" i="8"/>
  <c r="AN48" i="8"/>
  <c r="AO48" i="8"/>
  <c r="AI49" i="8"/>
  <c r="AJ49" i="8"/>
  <c r="AK49" i="8"/>
  <c r="AL49" i="8"/>
  <c r="AM49" i="8"/>
  <c r="AN49" i="8"/>
  <c r="AO49" i="8"/>
  <c r="AJ50" i="8"/>
  <c r="AK50" i="8"/>
  <c r="AL50" i="8"/>
  <c r="AM50" i="8"/>
  <c r="AN50" i="8"/>
  <c r="AO50" i="8"/>
  <c r="AK51" i="8"/>
  <c r="AL51" i="8"/>
  <c r="AM51" i="8"/>
  <c r="AN51" i="8"/>
  <c r="AO51" i="8"/>
  <c r="AL52" i="8"/>
  <c r="AM52" i="8"/>
  <c r="AN52" i="8"/>
  <c r="AO52" i="8"/>
  <c r="AM53" i="8"/>
  <c r="AN53" i="8"/>
  <c r="AO53" i="8"/>
  <c r="AN54" i="8"/>
  <c r="AO54" i="8"/>
  <c r="AO55" i="8"/>
  <c r="M27" i="8"/>
  <c r="N27" i="8"/>
  <c r="O27" i="8"/>
  <c r="P27" i="8"/>
  <c r="Q27" i="8"/>
  <c r="R27" i="8"/>
  <c r="S27" i="8"/>
  <c r="T27" i="8"/>
  <c r="N28" i="8"/>
  <c r="O28" i="8"/>
  <c r="P28" i="8"/>
  <c r="Q28" i="8"/>
  <c r="R28" i="8"/>
  <c r="S28" i="8"/>
  <c r="T28" i="8"/>
  <c r="O29" i="8"/>
  <c r="P29" i="8"/>
  <c r="Q29" i="8"/>
  <c r="R29" i="8"/>
  <c r="S29" i="8"/>
  <c r="T29" i="8"/>
  <c r="P30" i="8"/>
  <c r="Q30" i="8"/>
  <c r="R30" i="8"/>
  <c r="S30" i="8"/>
  <c r="T30" i="8"/>
  <c r="Q31" i="8"/>
  <c r="R31" i="8"/>
  <c r="S31" i="8"/>
  <c r="T31" i="8"/>
  <c r="R32" i="8"/>
  <c r="S32" i="8"/>
  <c r="T32" i="8"/>
  <c r="S33" i="8"/>
  <c r="T33" i="8"/>
  <c r="T34" i="8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L60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L54" i="7"/>
  <c r="AO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L48" i="7"/>
  <c r="C2" i="5"/>
  <c r="D2" i="8"/>
  <c r="L13" i="7"/>
  <c r="K14" i="7"/>
  <c r="L14" i="7" s="1"/>
  <c r="D2" i="7"/>
  <c r="O107" i="6"/>
  <c r="P105" i="6"/>
  <c r="O105" i="6"/>
  <c r="P104" i="6"/>
  <c r="O104" i="6"/>
  <c r="P86" i="6"/>
  <c r="O86" i="6"/>
  <c r="O80" i="6" s="1"/>
  <c r="P84" i="6"/>
  <c r="O84" i="6"/>
  <c r="P83" i="6"/>
  <c r="O83" i="6"/>
  <c r="P62" i="6"/>
  <c r="Q62" i="6"/>
  <c r="R62" i="6"/>
  <c r="S62" i="6"/>
  <c r="O62" i="6"/>
  <c r="P63" i="6"/>
  <c r="Q63" i="6"/>
  <c r="R63" i="6"/>
  <c r="S63" i="6"/>
  <c r="P65" i="6"/>
  <c r="Q65" i="6"/>
  <c r="R65" i="6"/>
  <c r="S65" i="6"/>
  <c r="O65" i="6"/>
  <c r="O63" i="6"/>
  <c r="P41" i="6"/>
  <c r="Q41" i="6"/>
  <c r="R41" i="6"/>
  <c r="S41" i="6"/>
  <c r="O41" i="6"/>
  <c r="P42" i="6"/>
  <c r="Q42" i="6"/>
  <c r="R42" i="6"/>
  <c r="S42" i="6"/>
  <c r="P44" i="6"/>
  <c r="Q44" i="6"/>
  <c r="R44" i="6"/>
  <c r="S44" i="6"/>
  <c r="O44" i="6"/>
  <c r="O42" i="6"/>
  <c r="O26" i="6"/>
  <c r="P13" i="6"/>
  <c r="O13" i="6"/>
  <c r="Q3" i="6"/>
  <c r="R3" i="6" s="1"/>
  <c r="S3" i="6" s="1"/>
  <c r="G2" i="6"/>
  <c r="L28" i="2"/>
  <c r="L26" i="2"/>
  <c r="K21" i="2"/>
  <c r="V13" i="4"/>
  <c r="V12" i="4"/>
  <c r="V11" i="4"/>
  <c r="V10" i="4"/>
  <c r="V9" i="4"/>
  <c r="V8" i="4"/>
  <c r="V7" i="4"/>
  <c r="V6" i="4"/>
  <c r="V5" i="4"/>
  <c r="V4" i="4"/>
  <c r="V3" i="4"/>
  <c r="V2" i="4"/>
  <c r="D2" i="2"/>
  <c r="F26" i="1"/>
  <c r="P80" i="6"/>
  <c r="I80" i="6" a="1"/>
  <c r="I80" i="6" s="1"/>
  <c r="Q14" i="6" l="1"/>
  <c r="Q13" i="6"/>
  <c r="P16" i="6"/>
  <c r="P14" i="6"/>
  <c r="AU33" i="9"/>
  <c r="AU40" i="9" s="1"/>
  <c r="O113" i="6"/>
  <c r="O114" i="6"/>
  <c r="O116" i="6"/>
  <c r="O93" i="6"/>
  <c r="P73" i="6"/>
  <c r="Q73" i="6" s="1"/>
  <c r="R73" i="6" s="1"/>
  <c r="S73" i="6" s="1"/>
  <c r="O50" i="6"/>
  <c r="O47" i="6" s="1"/>
  <c r="Q105" i="6"/>
  <c r="Q107" i="6"/>
  <c r="Q104" i="6"/>
  <c r="Q116" i="6"/>
  <c r="P107" i="6"/>
  <c r="P114" i="6"/>
  <c r="Q83" i="6"/>
  <c r="R85" i="6"/>
  <c r="Q84" i="6"/>
  <c r="Q86" i="6"/>
  <c r="Q80" i="6" s="1"/>
  <c r="O74" i="6"/>
  <c r="O72" i="6"/>
  <c r="O95" i="6"/>
  <c r="O92" i="6"/>
  <c r="Q16" i="6"/>
  <c r="R15" i="6"/>
  <c r="AU51" i="9"/>
  <c r="AU54" i="9" s="1"/>
  <c r="AM51" i="9"/>
  <c r="AE51" i="9"/>
  <c r="W51" i="9"/>
  <c r="O51" i="9"/>
  <c r="AT51" i="9"/>
  <c r="AL51" i="9"/>
  <c r="AD51" i="9"/>
  <c r="V51" i="9"/>
  <c r="N51" i="9"/>
  <c r="AS51" i="9"/>
  <c r="AK51" i="9"/>
  <c r="AC51" i="9"/>
  <c r="U51" i="9"/>
  <c r="M51" i="9"/>
  <c r="AR51" i="9"/>
  <c r="AJ51" i="9"/>
  <c r="AB51" i="9"/>
  <c r="T51" i="9"/>
  <c r="L51" i="9"/>
  <c r="AQ51" i="9"/>
  <c r="AI51" i="9"/>
  <c r="AA51" i="9"/>
  <c r="S51" i="9"/>
  <c r="K51" i="9"/>
  <c r="AP51" i="9"/>
  <c r="AH51" i="9"/>
  <c r="Z51" i="9"/>
  <c r="R51" i="9"/>
  <c r="AO51" i="9"/>
  <c r="AG51" i="9"/>
  <c r="Y51" i="9"/>
  <c r="Q51" i="9"/>
  <c r="AN51" i="9"/>
  <c r="AF51" i="9"/>
  <c r="X51" i="9"/>
  <c r="Q53" i="6"/>
  <c r="P53" i="6"/>
  <c r="P92" i="6"/>
  <c r="H5" i="8" a="1"/>
  <c r="H5" i="8" s="1"/>
  <c r="H5" i="2" a="1"/>
  <c r="H5" i="2" s="1"/>
  <c r="H101" i="6"/>
  <c r="L88" i="2" a="1"/>
  <c r="L88" i="2" s="1"/>
  <c r="H110" i="6"/>
  <c r="H5" i="9" a="1"/>
  <c r="H5" i="9" s="1"/>
  <c r="H68" i="6"/>
  <c r="O68" i="6" s="1"/>
  <c r="H5" i="3" a="1"/>
  <c r="H5" i="3" s="1"/>
  <c r="G5" i="5" a="1"/>
  <c r="G5" i="5" s="1"/>
  <c r="H5" i="7" a="1"/>
  <c r="H5" i="7" s="1"/>
  <c r="K5" i="6" a="1"/>
  <c r="K5" i="6" s="1"/>
  <c r="H23" i="6"/>
  <c r="H59" i="6"/>
  <c r="S59" i="6" s="1"/>
  <c r="H122" i="6"/>
  <c r="I122" i="6" s="1" a="1"/>
  <c r="I122" i="6" s="1"/>
  <c r="H38" i="6"/>
  <c r="S38" i="6" s="1"/>
  <c r="H89" i="6"/>
  <c r="H10" i="6"/>
  <c r="I10" i="6" s="1" a="1"/>
  <c r="I10" i="6" s="1"/>
  <c r="L90" i="2"/>
  <c r="L16" i="8" s="1"/>
  <c r="L14" i="8" s="1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L126" i="8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L77" i="7"/>
  <c r="AU41" i="9"/>
  <c r="AU22" i="9"/>
  <c r="AP65" i="8"/>
  <c r="M14" i="7"/>
  <c r="L15" i="7"/>
  <c r="O51" i="6"/>
  <c r="O53" i="6"/>
  <c r="Q50" i="6"/>
  <c r="Q47" i="6" s="1"/>
  <c r="Q51" i="6"/>
  <c r="P50" i="6"/>
  <c r="P47" i="6" s="1"/>
  <c r="P51" i="6"/>
  <c r="I47" i="6" a="1"/>
  <c r="I47" i="6" s="1"/>
  <c r="P89" i="6" l="1"/>
  <c r="P113" i="6"/>
  <c r="P110" i="6" s="1"/>
  <c r="Q114" i="6"/>
  <c r="Q113" i="6"/>
  <c r="Q110" i="6" s="1"/>
  <c r="P116" i="6"/>
  <c r="R107" i="6"/>
  <c r="R104" i="6"/>
  <c r="R101" i="6" s="1"/>
  <c r="R105" i="6"/>
  <c r="P95" i="6"/>
  <c r="P93" i="6"/>
  <c r="S85" i="6"/>
  <c r="R84" i="6"/>
  <c r="R86" i="6"/>
  <c r="R80" i="6" s="1"/>
  <c r="R83" i="6"/>
  <c r="P72" i="6"/>
  <c r="P74" i="6"/>
  <c r="P71" i="6"/>
  <c r="P68" i="6" s="1"/>
  <c r="R13" i="6"/>
  <c r="R14" i="6"/>
  <c r="R16" i="6"/>
  <c r="R51" i="6"/>
  <c r="R50" i="6"/>
  <c r="R47" i="6" s="1"/>
  <c r="AU55" i="9"/>
  <c r="R53" i="6"/>
  <c r="Q92" i="6"/>
  <c r="Q89" i="6" s="1"/>
  <c r="Q95" i="6"/>
  <c r="Q93" i="6"/>
  <c r="O101" i="6"/>
  <c r="I101" i="6" a="1"/>
  <c r="I101" i="6" s="1"/>
  <c r="Q101" i="6"/>
  <c r="P101" i="6"/>
  <c r="I38" i="6" a="1"/>
  <c r="I38" i="6" s="1"/>
  <c r="O38" i="6"/>
  <c r="I110" i="6" a="1"/>
  <c r="I110" i="6" s="1"/>
  <c r="O110" i="6"/>
  <c r="I89" i="6" a="1"/>
  <c r="I89" i="6" s="1"/>
  <c r="P38" i="6"/>
  <c r="O89" i="6"/>
  <c r="I68" i="6" a="1"/>
  <c r="I68" i="6" s="1"/>
  <c r="R38" i="6"/>
  <c r="Q38" i="6"/>
  <c r="O23" i="6"/>
  <c r="K14" i="9" s="1"/>
  <c r="O59" i="6"/>
  <c r="O10" i="6"/>
  <c r="K12" i="9" s="1"/>
  <c r="R59" i="6"/>
  <c r="I59" i="6" a="1"/>
  <c r="I59" i="6" s="1"/>
  <c r="R10" i="6"/>
  <c r="N12" i="9" s="1"/>
  <c r="P59" i="6"/>
  <c r="P10" i="6"/>
  <c r="L12" i="9" s="1"/>
  <c r="I23" i="6" a="1"/>
  <c r="I23" i="6" s="1"/>
  <c r="Q59" i="6"/>
  <c r="Q10" i="6"/>
  <c r="M12" i="9" s="1"/>
  <c r="M16" i="8"/>
  <c r="M14" i="8" s="1"/>
  <c r="L15" i="8"/>
  <c r="L13" i="8"/>
  <c r="L16" i="7"/>
  <c r="M13" i="7" s="1"/>
  <c r="L24" i="7"/>
  <c r="N14" i="7"/>
  <c r="M15" i="7"/>
  <c r="R114" i="6" l="1"/>
  <c r="R113" i="6"/>
  <c r="R110" i="6" s="1"/>
  <c r="S107" i="6"/>
  <c r="S104" i="6"/>
  <c r="S101" i="6" s="1"/>
  <c r="S105" i="6"/>
  <c r="S116" i="6"/>
  <c r="R116" i="6"/>
  <c r="S84" i="6"/>
  <c r="S86" i="6"/>
  <c r="S80" i="6" s="1"/>
  <c r="S83" i="6"/>
  <c r="Q74" i="6"/>
  <c r="Q71" i="6"/>
  <c r="Q68" i="6" s="1"/>
  <c r="Q127" i="6" s="1"/>
  <c r="Q72" i="6"/>
  <c r="O127" i="6"/>
  <c r="S13" i="6"/>
  <c r="S10" i="6" s="1"/>
  <c r="AL12" i="9" s="1"/>
  <c r="S14" i="6"/>
  <c r="S16" i="6"/>
  <c r="S53" i="6"/>
  <c r="S51" i="6"/>
  <c r="S50" i="6"/>
  <c r="S47" i="6" s="1"/>
  <c r="S114" i="6"/>
  <c r="R92" i="6"/>
  <c r="R89" i="6" s="1"/>
  <c r="R95" i="6"/>
  <c r="R93" i="6"/>
  <c r="P127" i="6"/>
  <c r="M13" i="8"/>
  <c r="N16" i="8"/>
  <c r="N15" i="8" s="1"/>
  <c r="M15" i="8"/>
  <c r="K24" i="9"/>
  <c r="L50" i="7"/>
  <c r="L56" i="7"/>
  <c r="L62" i="7"/>
  <c r="M16" i="7"/>
  <c r="N13" i="7" s="1"/>
  <c r="N15" i="7" s="1"/>
  <c r="M24" i="7"/>
  <c r="L27" i="7"/>
  <c r="L41" i="7" s="1"/>
  <c r="L26" i="7"/>
  <c r="L25" i="7"/>
  <c r="L33" i="7" s="1"/>
  <c r="O14" i="7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S113" i="6" l="1"/>
  <c r="S110" i="6" s="1"/>
  <c r="R74" i="6"/>
  <c r="R72" i="6"/>
  <c r="R71" i="6"/>
  <c r="R68" i="6" s="1"/>
  <c r="R127" i="6" s="1"/>
  <c r="R125" i="6" s="1"/>
  <c r="AI12" i="9"/>
  <c r="S12" i="9"/>
  <c r="AK12" i="9"/>
  <c r="T12" i="9"/>
  <c r="AN12" i="9"/>
  <c r="AD12" i="9"/>
  <c r="AJ12" i="9"/>
  <c r="AE12" i="9"/>
  <c r="AA12" i="9"/>
  <c r="AM12" i="9"/>
  <c r="V12" i="9"/>
  <c r="U12" i="9"/>
  <c r="R12" i="9"/>
  <c r="Z12" i="9"/>
  <c r="X12" i="9"/>
  <c r="AR12" i="9"/>
  <c r="O12" i="9"/>
  <c r="AF12" i="9"/>
  <c r="Q12" i="9"/>
  <c r="AB12" i="9"/>
  <c r="AU12" i="9"/>
  <c r="AP12" i="9"/>
  <c r="W12" i="9"/>
  <c r="AO12" i="9"/>
  <c r="AT12" i="9"/>
  <c r="Y12" i="9"/>
  <c r="AH12" i="9"/>
  <c r="AS12" i="9"/>
  <c r="AC12" i="9"/>
  <c r="P12" i="9"/>
  <c r="AG12" i="9"/>
  <c r="AQ12" i="9"/>
  <c r="S93" i="6"/>
  <c r="S95" i="6"/>
  <c r="S92" i="6"/>
  <c r="S89" i="6" s="1"/>
  <c r="O128" i="6"/>
  <c r="O125" i="6"/>
  <c r="P126" i="6"/>
  <c r="P125" i="6"/>
  <c r="O126" i="6"/>
  <c r="N14" i="8"/>
  <c r="N13" i="8"/>
  <c r="O16" i="8"/>
  <c r="O15" i="8" s="1"/>
  <c r="L24" i="9"/>
  <c r="M62" i="7"/>
  <c r="M50" i="7"/>
  <c r="M56" i="7"/>
  <c r="N16" i="7"/>
  <c r="O13" i="7" s="1"/>
  <c r="O16" i="7" s="1"/>
  <c r="P13" i="7" s="1"/>
  <c r="N24" i="7"/>
  <c r="M25" i="7"/>
  <c r="M33" i="7" s="1"/>
  <c r="M26" i="7"/>
  <c r="M27" i="7"/>
  <c r="O15" i="7"/>
  <c r="O24" i="7" s="1"/>
  <c r="AL14" i="7"/>
  <c r="AM14" i="7" s="1"/>
  <c r="AN14" i="7" s="1"/>
  <c r="AO14" i="7" s="1"/>
  <c r="R126" i="6" l="1"/>
  <c r="S74" i="6"/>
  <c r="S71" i="6"/>
  <c r="S68" i="6" s="1"/>
  <c r="S127" i="6" s="1"/>
  <c r="S72" i="6"/>
  <c r="O122" i="6"/>
  <c r="K13" i="9" s="1"/>
  <c r="P128" i="6"/>
  <c r="R128" i="6"/>
  <c r="Q128" i="6"/>
  <c r="Q125" i="6"/>
  <c r="Q126" i="6"/>
  <c r="O14" i="8"/>
  <c r="O13" i="8"/>
  <c r="P16" i="8"/>
  <c r="P13" i="8" s="1"/>
  <c r="N24" i="9"/>
  <c r="M24" i="9"/>
  <c r="O62" i="7"/>
  <c r="O50" i="7"/>
  <c r="O56" i="7"/>
  <c r="N62" i="7"/>
  <c r="N50" i="7"/>
  <c r="N56" i="7"/>
  <c r="O25" i="7"/>
  <c r="O33" i="7" s="1"/>
  <c r="O26" i="7"/>
  <c r="O27" i="7"/>
  <c r="N25" i="7"/>
  <c r="N33" i="7" s="1"/>
  <c r="N26" i="7"/>
  <c r="N27" i="7"/>
  <c r="P15" i="7"/>
  <c r="P24" i="7" s="1"/>
  <c r="P16" i="7"/>
  <c r="Q13" i="7" s="1"/>
  <c r="S128" i="6" l="1"/>
  <c r="S125" i="6"/>
  <c r="S122" i="6" s="1"/>
  <c r="AB13" i="9" s="1"/>
  <c r="S126" i="6"/>
  <c r="L37" i="7"/>
  <c r="L67" i="7" s="1"/>
  <c r="P122" i="6"/>
  <c r="L13" i="9" s="1"/>
  <c r="R122" i="6"/>
  <c r="N13" i="9" s="1"/>
  <c r="Q122" i="6"/>
  <c r="M13" i="9" s="1"/>
  <c r="Q16" i="8"/>
  <c r="Q13" i="8" s="1"/>
  <c r="P15" i="8"/>
  <c r="P14" i="8"/>
  <c r="O24" i="9"/>
  <c r="P62" i="7"/>
  <c r="P50" i="7"/>
  <c r="P56" i="7"/>
  <c r="P25" i="7"/>
  <c r="P33" i="7" s="1"/>
  <c r="P26" i="7"/>
  <c r="P27" i="7"/>
  <c r="Q15" i="7"/>
  <c r="Q24" i="7" s="1"/>
  <c r="S13" i="9" l="1"/>
  <c r="AT13" i="9"/>
  <c r="AL13" i="9"/>
  <c r="U13" i="9"/>
  <c r="P37" i="7"/>
  <c r="AS13" i="9"/>
  <c r="AK13" i="9"/>
  <c r="AD13" i="9"/>
  <c r="AM13" i="9"/>
  <c r="Z13" i="9"/>
  <c r="AP13" i="9"/>
  <c r="AQ13" i="9"/>
  <c r="Q13" i="9"/>
  <c r="AF13" i="9"/>
  <c r="AI13" i="9"/>
  <c r="W13" i="9"/>
  <c r="O13" i="9"/>
  <c r="AU13" i="9"/>
  <c r="AG13" i="9"/>
  <c r="AE13" i="9"/>
  <c r="R13" i="9"/>
  <c r="Y13" i="9"/>
  <c r="X13" i="9"/>
  <c r="AO13" i="9"/>
  <c r="AJ13" i="9"/>
  <c r="P13" i="9"/>
  <c r="AN13" i="9"/>
  <c r="AR13" i="9"/>
  <c r="V13" i="9"/>
  <c r="AC13" i="9"/>
  <c r="AH13" i="9"/>
  <c r="T13" i="9"/>
  <c r="AA13" i="9"/>
  <c r="M37" i="7"/>
  <c r="O37" i="7"/>
  <c r="N37" i="7"/>
  <c r="R16" i="8"/>
  <c r="R13" i="8" s="1"/>
  <c r="Q15" i="8"/>
  <c r="Q14" i="8"/>
  <c r="Q16" i="7"/>
  <c r="R13" i="7" s="1"/>
  <c r="R15" i="7" s="1"/>
  <c r="P24" i="9"/>
  <c r="Q62" i="7"/>
  <c r="Q50" i="7"/>
  <c r="Q56" i="7"/>
  <c r="Q25" i="7"/>
  <c r="Q33" i="7" s="1"/>
  <c r="Q26" i="7"/>
  <c r="Q37" i="7" s="1"/>
  <c r="Q27" i="7"/>
  <c r="R14" i="8" l="1"/>
  <c r="S16" i="8"/>
  <c r="S15" i="8" s="1"/>
  <c r="R15" i="8"/>
  <c r="R24" i="7"/>
  <c r="R16" i="7"/>
  <c r="S13" i="7" s="1"/>
  <c r="Q24" i="9"/>
  <c r="R62" i="7"/>
  <c r="R50" i="7"/>
  <c r="R56" i="7"/>
  <c r="R25" i="7"/>
  <c r="R33" i="7" s="1"/>
  <c r="R26" i="7"/>
  <c r="R37" i="7" s="1"/>
  <c r="R27" i="7"/>
  <c r="S15" i="7"/>
  <c r="S24" i="7" s="1"/>
  <c r="S16" i="7"/>
  <c r="T13" i="7" s="1"/>
  <c r="S14" i="8" l="1"/>
  <c r="S13" i="8"/>
  <c r="T16" i="8"/>
  <c r="T13" i="8" s="1"/>
  <c r="R24" i="9"/>
  <c r="S62" i="7"/>
  <c r="S50" i="7"/>
  <c r="S56" i="7"/>
  <c r="S25" i="7"/>
  <c r="S33" i="7" s="1"/>
  <c r="S26" i="7"/>
  <c r="S37" i="7" s="1"/>
  <c r="S27" i="7"/>
  <c r="T15" i="7"/>
  <c r="T24" i="7" s="1"/>
  <c r="T16" i="7"/>
  <c r="U13" i="7" s="1"/>
  <c r="U16" i="8" l="1"/>
  <c r="U13" i="8" s="1"/>
  <c r="T15" i="8"/>
  <c r="T14" i="8"/>
  <c r="S24" i="9"/>
  <c r="T62" i="7"/>
  <c r="T50" i="7"/>
  <c r="T56" i="7"/>
  <c r="T25" i="7"/>
  <c r="T33" i="7" s="1"/>
  <c r="T26" i="7"/>
  <c r="T37" i="7" s="1"/>
  <c r="T27" i="7"/>
  <c r="U15" i="7"/>
  <c r="U24" i="7" s="1"/>
  <c r="U16" i="7"/>
  <c r="V13" i="7" s="1"/>
  <c r="V16" i="8" l="1"/>
  <c r="V13" i="8" s="1"/>
  <c r="U15" i="8"/>
  <c r="U14" i="8"/>
  <c r="T24" i="9"/>
  <c r="U62" i="7"/>
  <c r="U50" i="7"/>
  <c r="U56" i="7"/>
  <c r="U25" i="7"/>
  <c r="U33" i="7" s="1"/>
  <c r="U26" i="7"/>
  <c r="U37" i="7" s="1"/>
  <c r="U27" i="7"/>
  <c r="V15" i="7"/>
  <c r="V24" i="7" s="1"/>
  <c r="V16" i="7"/>
  <c r="W13" i="7" s="1"/>
  <c r="W16" i="8" l="1"/>
  <c r="W13" i="8" s="1"/>
  <c r="V15" i="8"/>
  <c r="V14" i="8"/>
  <c r="U24" i="9"/>
  <c r="V62" i="7"/>
  <c r="V50" i="7"/>
  <c r="V56" i="7"/>
  <c r="V25" i="7"/>
  <c r="V33" i="7" s="1"/>
  <c r="V26" i="7"/>
  <c r="V37" i="7" s="1"/>
  <c r="V27" i="7"/>
  <c r="W15" i="7"/>
  <c r="W24" i="7" s="1"/>
  <c r="W14" i="8" l="1"/>
  <c r="W15" i="8"/>
  <c r="X16" i="8"/>
  <c r="X13" i="8" s="1"/>
  <c r="W16" i="7"/>
  <c r="X13" i="7" s="1"/>
  <c r="V24" i="9"/>
  <c r="W62" i="7"/>
  <c r="W50" i="7"/>
  <c r="W56" i="7"/>
  <c r="W25" i="7"/>
  <c r="W33" i="7" s="1"/>
  <c r="W26" i="7"/>
  <c r="W37" i="7" s="1"/>
  <c r="W27" i="7"/>
  <c r="X15" i="7"/>
  <c r="X24" i="7" s="1"/>
  <c r="Y16" i="8" l="1"/>
  <c r="Y13" i="8" s="1"/>
  <c r="X15" i="8"/>
  <c r="X14" i="8"/>
  <c r="X16" i="7"/>
  <c r="Y13" i="7" s="1"/>
  <c r="W24" i="9"/>
  <c r="X62" i="7"/>
  <c r="X50" i="7"/>
  <c r="X56" i="7"/>
  <c r="X25" i="7"/>
  <c r="X33" i="7" s="1"/>
  <c r="X26" i="7"/>
  <c r="X37" i="7" s="1"/>
  <c r="X27" i="7"/>
  <c r="Y15" i="7"/>
  <c r="Y24" i="7" s="1"/>
  <c r="Y14" i="8" l="1"/>
  <c r="Z16" i="8"/>
  <c r="AA16" i="8" s="1"/>
  <c r="Y15" i="8"/>
  <c r="Y16" i="7"/>
  <c r="Z13" i="7" s="1"/>
  <c r="X24" i="9"/>
  <c r="Y62" i="7"/>
  <c r="Y50" i="7"/>
  <c r="Y56" i="7"/>
  <c r="Y25" i="7"/>
  <c r="Y33" i="7" s="1"/>
  <c r="Y26" i="7"/>
  <c r="Y37" i="7" s="1"/>
  <c r="Y27" i="7"/>
  <c r="Z15" i="7"/>
  <c r="Z24" i="7" s="1"/>
  <c r="Z13" i="8" l="1"/>
  <c r="Z14" i="8"/>
  <c r="Z15" i="8"/>
  <c r="Z16" i="7"/>
  <c r="AA13" i="7" s="1"/>
  <c r="Y24" i="9"/>
  <c r="AA13" i="8"/>
  <c r="AA14" i="8"/>
  <c r="AA15" i="8"/>
  <c r="AB16" i="8"/>
  <c r="Z62" i="7"/>
  <c r="Z50" i="7"/>
  <c r="Z56" i="7"/>
  <c r="Z25" i="7"/>
  <c r="Z33" i="7" s="1"/>
  <c r="Z26" i="7"/>
  <c r="Z37" i="7" s="1"/>
  <c r="Z27" i="7"/>
  <c r="AA15" i="7"/>
  <c r="AA24" i="7" s="1"/>
  <c r="AA16" i="7" l="1"/>
  <c r="AB13" i="7" s="1"/>
  <c r="Z24" i="9"/>
  <c r="AB13" i="8"/>
  <c r="AB14" i="8"/>
  <c r="AB15" i="8"/>
  <c r="AC16" i="8"/>
  <c r="AA62" i="7"/>
  <c r="AA50" i="7"/>
  <c r="AA56" i="7"/>
  <c r="AA25" i="7"/>
  <c r="AA33" i="7" s="1"/>
  <c r="AA26" i="7"/>
  <c r="AA37" i="7" s="1"/>
  <c r="AA27" i="7"/>
  <c r="AB15" i="7"/>
  <c r="AB24" i="7" s="1"/>
  <c r="AB16" i="7" l="1"/>
  <c r="AC13" i="7" s="1"/>
  <c r="AA24" i="9"/>
  <c r="AC13" i="8"/>
  <c r="AC14" i="8"/>
  <c r="AC15" i="8"/>
  <c r="AD16" i="8"/>
  <c r="AB62" i="7"/>
  <c r="AB50" i="7"/>
  <c r="AB56" i="7"/>
  <c r="AB25" i="7"/>
  <c r="AB33" i="7" s="1"/>
  <c r="AB26" i="7"/>
  <c r="AB37" i="7" s="1"/>
  <c r="AB27" i="7"/>
  <c r="AC15" i="7"/>
  <c r="AC24" i="7" s="1"/>
  <c r="AC16" i="7" l="1"/>
  <c r="AD13" i="7" s="1"/>
  <c r="AB24" i="9"/>
  <c r="AD13" i="8"/>
  <c r="AD14" i="8"/>
  <c r="AD15" i="8"/>
  <c r="AE16" i="8"/>
  <c r="AC62" i="7"/>
  <c r="AC50" i="7"/>
  <c r="AC56" i="7"/>
  <c r="AC25" i="7"/>
  <c r="AC33" i="7" s="1"/>
  <c r="AC26" i="7"/>
  <c r="AC37" i="7" s="1"/>
  <c r="AC27" i="7"/>
  <c r="AD15" i="7"/>
  <c r="AD24" i="7" s="1"/>
  <c r="AD16" i="7" l="1"/>
  <c r="AE13" i="7" s="1"/>
  <c r="AC24" i="9"/>
  <c r="AE13" i="8"/>
  <c r="AE14" i="8"/>
  <c r="AE15" i="8"/>
  <c r="AF16" i="8"/>
  <c r="AD62" i="7"/>
  <c r="AD50" i="7"/>
  <c r="AD56" i="7"/>
  <c r="AD25" i="7"/>
  <c r="AD33" i="7" s="1"/>
  <c r="AD26" i="7"/>
  <c r="AD37" i="7" s="1"/>
  <c r="AD27" i="7"/>
  <c r="AE15" i="7"/>
  <c r="AE24" i="7" s="1"/>
  <c r="AE16" i="7" l="1"/>
  <c r="AF13" i="7" s="1"/>
  <c r="AD24" i="9"/>
  <c r="AF13" i="8"/>
  <c r="AF14" i="8"/>
  <c r="AF15" i="8"/>
  <c r="AG16" i="8"/>
  <c r="AE62" i="7"/>
  <c r="AE50" i="7"/>
  <c r="AE56" i="7"/>
  <c r="AE25" i="7"/>
  <c r="AE33" i="7" s="1"/>
  <c r="AE26" i="7"/>
  <c r="AE37" i="7" s="1"/>
  <c r="AE27" i="7"/>
  <c r="AF15" i="7"/>
  <c r="AF24" i="7" s="1"/>
  <c r="AF16" i="7" l="1"/>
  <c r="AG13" i="7" s="1"/>
  <c r="AG15" i="7" s="1"/>
  <c r="AE24" i="9"/>
  <c r="AG13" i="8"/>
  <c r="AG14" i="8"/>
  <c r="AG15" i="8"/>
  <c r="AH16" i="8"/>
  <c r="AF62" i="7"/>
  <c r="AF50" i="7"/>
  <c r="AF56" i="7"/>
  <c r="AF25" i="7"/>
  <c r="AF33" i="7" s="1"/>
  <c r="AF26" i="7"/>
  <c r="AF37" i="7" s="1"/>
  <c r="AF27" i="7"/>
  <c r="AG24" i="7" l="1"/>
  <c r="AG16" i="7"/>
  <c r="AH13" i="7" s="1"/>
  <c r="AF24" i="9"/>
  <c r="AH13" i="8"/>
  <c r="AH14" i="8"/>
  <c r="AH15" i="8"/>
  <c r="AI16" i="8"/>
  <c r="AG62" i="7"/>
  <c r="AG50" i="7"/>
  <c r="AG56" i="7"/>
  <c r="AG25" i="7"/>
  <c r="AG33" i="7" s="1"/>
  <c r="AG26" i="7"/>
  <c r="AG37" i="7" s="1"/>
  <c r="AG27" i="7"/>
  <c r="AH15" i="7"/>
  <c r="AH24" i="7" s="1"/>
  <c r="AH16" i="7" l="1"/>
  <c r="AI13" i="7" s="1"/>
  <c r="AG24" i="9"/>
  <c r="AI13" i="8"/>
  <c r="AI14" i="8"/>
  <c r="AI15" i="8"/>
  <c r="AJ16" i="8"/>
  <c r="AH62" i="7"/>
  <c r="AH50" i="7"/>
  <c r="AH56" i="7"/>
  <c r="AH25" i="7"/>
  <c r="AH33" i="7" s="1"/>
  <c r="AH26" i="7"/>
  <c r="AH37" i="7" s="1"/>
  <c r="AH27" i="7"/>
  <c r="AI15" i="7"/>
  <c r="AI24" i="7" s="1"/>
  <c r="AI16" i="7" l="1"/>
  <c r="AJ13" i="7" s="1"/>
  <c r="AH24" i="9"/>
  <c r="AJ13" i="8"/>
  <c r="AJ14" i="8"/>
  <c r="AJ15" i="8"/>
  <c r="AK16" i="8"/>
  <c r="AI62" i="7"/>
  <c r="AI50" i="7"/>
  <c r="AI56" i="7"/>
  <c r="AI25" i="7"/>
  <c r="AI33" i="7" s="1"/>
  <c r="AI26" i="7"/>
  <c r="AI37" i="7" s="1"/>
  <c r="AI27" i="7"/>
  <c r="AJ15" i="7"/>
  <c r="AJ24" i="7" s="1"/>
  <c r="AJ16" i="7" l="1"/>
  <c r="AK13" i="7" s="1"/>
  <c r="AI24" i="9"/>
  <c r="AK13" i="8"/>
  <c r="AK14" i="8"/>
  <c r="AK15" i="8"/>
  <c r="AL16" i="8"/>
  <c r="AJ62" i="7"/>
  <c r="AJ50" i="7"/>
  <c r="AJ56" i="7"/>
  <c r="AJ25" i="7"/>
  <c r="AJ33" i="7" s="1"/>
  <c r="AJ26" i="7"/>
  <c r="AJ37" i="7" s="1"/>
  <c r="AJ27" i="7"/>
  <c r="AK15" i="7"/>
  <c r="AL13" i="8" l="1"/>
  <c r="AL14" i="8"/>
  <c r="AL15" i="8"/>
  <c r="AM16" i="8"/>
  <c r="AK16" i="7"/>
  <c r="AL13" i="7" s="1"/>
  <c r="AL15" i="7" s="1"/>
  <c r="AL24" i="7" s="1"/>
  <c r="AK24" i="7"/>
  <c r="AL16" i="7" l="1"/>
  <c r="AM13" i="7" s="1"/>
  <c r="AK24" i="9"/>
  <c r="AJ24" i="9"/>
  <c r="AM13" i="8"/>
  <c r="AM14" i="8"/>
  <c r="AM15" i="8"/>
  <c r="AN16" i="8"/>
  <c r="AL62" i="7"/>
  <c r="AL50" i="7"/>
  <c r="AL56" i="7"/>
  <c r="AK62" i="7"/>
  <c r="AK50" i="7"/>
  <c r="AK56" i="7"/>
  <c r="AL25" i="7"/>
  <c r="AL33" i="7" s="1"/>
  <c r="AL26" i="7"/>
  <c r="AL37" i="7" s="1"/>
  <c r="AL27" i="7"/>
  <c r="AK25" i="7"/>
  <c r="AK33" i="7" s="1"/>
  <c r="AK26" i="7"/>
  <c r="AK37" i="7" s="1"/>
  <c r="AK27" i="7"/>
  <c r="AM15" i="7"/>
  <c r="AM24" i="7" s="1"/>
  <c r="AM16" i="7"/>
  <c r="AN13" i="7" s="1"/>
  <c r="AL24" i="9" l="1"/>
  <c r="AN13" i="8"/>
  <c r="AN14" i="8"/>
  <c r="AN15" i="8"/>
  <c r="AO16" i="8"/>
  <c r="AM62" i="7"/>
  <c r="AM50" i="7"/>
  <c r="AM56" i="7"/>
  <c r="AM25" i="7"/>
  <c r="AM33" i="7" s="1"/>
  <c r="AM26" i="7"/>
  <c r="AM37" i="7" s="1"/>
  <c r="AM27" i="7"/>
  <c r="AN15" i="7"/>
  <c r="AN24" i="7" s="1"/>
  <c r="AN16" i="7"/>
  <c r="AO13" i="7" s="1"/>
  <c r="AM24" i="9" l="1"/>
  <c r="AP16" i="8"/>
  <c r="J16" i="8"/>
  <c r="AO13" i="8"/>
  <c r="J13" i="8" s="1"/>
  <c r="AO14" i="8"/>
  <c r="J14" i="8" s="1"/>
  <c r="AO15" i="8"/>
  <c r="J15" i="8" s="1"/>
  <c r="AN62" i="7"/>
  <c r="AN50" i="7"/>
  <c r="AN56" i="7"/>
  <c r="AN25" i="7"/>
  <c r="AN33" i="7" s="1"/>
  <c r="AN26" i="7"/>
  <c r="AN37" i="7" s="1"/>
  <c r="AN27" i="7"/>
  <c r="AO15" i="7"/>
  <c r="AO24" i="7" s="1"/>
  <c r="AO16" i="7" l="1"/>
  <c r="AN24" i="9"/>
  <c r="AW24" i="9"/>
  <c r="AQ16" i="8"/>
  <c r="AP13" i="8"/>
  <c r="AP14" i="8"/>
  <c r="AP15" i="8"/>
  <c r="AO62" i="7"/>
  <c r="AO50" i="7"/>
  <c r="AO56" i="7"/>
  <c r="AO25" i="7"/>
  <c r="AO33" i="7" s="1"/>
  <c r="AO26" i="7"/>
  <c r="AO37" i="7" s="1"/>
  <c r="AO27" i="7"/>
  <c r="AT46" i="9" l="1"/>
  <c r="AS46" i="9"/>
  <c r="AR46" i="9"/>
  <c r="AQ46" i="9"/>
  <c r="AP46" i="9"/>
  <c r="AO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R16" i="8"/>
  <c r="AQ13" i="8"/>
  <c r="AQ14" i="8"/>
  <c r="AQ15" i="8"/>
  <c r="AS16" i="8" l="1"/>
  <c r="AR13" i="8"/>
  <c r="AR14" i="8"/>
  <c r="AR15" i="8"/>
  <c r="AT16" i="8" l="1"/>
  <c r="AU16" i="8" s="1"/>
  <c r="AS13" i="8"/>
  <c r="AS14" i="8"/>
  <c r="AS15" i="8"/>
  <c r="AV16" i="8" l="1"/>
  <c r="AU13" i="8"/>
  <c r="AU14" i="8"/>
  <c r="AU15" i="8"/>
  <c r="AT13" i="8"/>
  <c r="AT14" i="8"/>
  <c r="AT15" i="8"/>
  <c r="AW16" i="8" l="1"/>
  <c r="AV13" i="8"/>
  <c r="AV14" i="8"/>
  <c r="AV15" i="8"/>
  <c r="AX16" i="8" l="1"/>
  <c r="AW13" i="8"/>
  <c r="AW14" i="8"/>
  <c r="AW15" i="8"/>
  <c r="AY16" i="8" l="1"/>
  <c r="AX13" i="8"/>
  <c r="AX14" i="8"/>
  <c r="AX15" i="8"/>
  <c r="AY13" i="8" l="1"/>
  <c r="AY14" i="8"/>
  <c r="AY15" i="8"/>
  <c r="L24" i="8"/>
  <c r="M24" i="8"/>
  <c r="M118" i="8" s="1"/>
  <c r="N24" i="8"/>
  <c r="N118" i="8" s="1"/>
  <c r="O24" i="8"/>
  <c r="O118" i="8" s="1"/>
  <c r="P24" i="8"/>
  <c r="P118" i="8" s="1"/>
  <c r="Q24" i="8"/>
  <c r="Q118" i="8" s="1"/>
  <c r="R24" i="8"/>
  <c r="R118" i="8" s="1"/>
  <c r="S24" i="8"/>
  <c r="S118" i="8" s="1"/>
  <c r="T24" i="8"/>
  <c r="T118" i="8" s="1"/>
  <c r="U24" i="8"/>
  <c r="U118" i="8" s="1"/>
  <c r="V24" i="8"/>
  <c r="V118" i="8" s="1"/>
  <c r="W24" i="8"/>
  <c r="W118" i="8" s="1"/>
  <c r="X24" i="8"/>
  <c r="X118" i="8" s="1"/>
  <c r="Y24" i="8"/>
  <c r="Y118" i="8" s="1"/>
  <c r="Z24" i="8"/>
  <c r="Z118" i="8" s="1"/>
  <c r="AA24" i="8"/>
  <c r="AA118" i="8" s="1"/>
  <c r="AB24" i="8"/>
  <c r="AB118" i="8" s="1"/>
  <c r="AC24" i="8"/>
  <c r="AC118" i="8" s="1"/>
  <c r="AD24" i="8"/>
  <c r="AD118" i="8" s="1"/>
  <c r="AE24" i="8"/>
  <c r="AE118" i="8" s="1"/>
  <c r="AF24" i="8"/>
  <c r="AF118" i="8" s="1"/>
  <c r="AG24" i="8"/>
  <c r="AG118" i="8" s="1"/>
  <c r="AH24" i="8"/>
  <c r="AH118" i="8" s="1"/>
  <c r="AI24" i="8"/>
  <c r="AI118" i="8" s="1"/>
  <c r="AJ24" i="8"/>
  <c r="AJ118" i="8" s="1"/>
  <c r="AK24" i="8"/>
  <c r="AK118" i="8" s="1"/>
  <c r="AL24" i="8"/>
  <c r="AL118" i="8" s="1"/>
  <c r="AM24" i="8"/>
  <c r="AM118" i="8" s="1"/>
  <c r="AN24" i="8"/>
  <c r="AN118" i="8" s="1"/>
  <c r="AO24" i="8"/>
  <c r="AO118" i="8" s="1"/>
  <c r="L27" i="8"/>
  <c r="AP27" i="8" s="1"/>
  <c r="L73" i="8" s="1"/>
  <c r="L28" i="8"/>
  <c r="M28" i="8"/>
  <c r="L29" i="8"/>
  <c r="M29" i="8"/>
  <c r="N29" i="8"/>
  <c r="L30" i="8"/>
  <c r="M30" i="8"/>
  <c r="N30" i="8"/>
  <c r="O30" i="8"/>
  <c r="L31" i="8"/>
  <c r="M31" i="8"/>
  <c r="N31" i="8"/>
  <c r="O31" i="8"/>
  <c r="P31" i="8"/>
  <c r="L32" i="8"/>
  <c r="M32" i="8"/>
  <c r="N32" i="8"/>
  <c r="O32" i="8"/>
  <c r="P32" i="8"/>
  <c r="Q32" i="8"/>
  <c r="L33" i="8"/>
  <c r="M33" i="8"/>
  <c r="N33" i="8"/>
  <c r="O33" i="8"/>
  <c r="P33" i="8"/>
  <c r="Q33" i="8"/>
  <c r="R33" i="8"/>
  <c r="L34" i="8"/>
  <c r="M34" i="8"/>
  <c r="N34" i="8"/>
  <c r="O34" i="8"/>
  <c r="P34" i="8"/>
  <c r="Q34" i="8"/>
  <c r="R34" i="8"/>
  <c r="S34" i="8"/>
  <c r="L35" i="8"/>
  <c r="M35" i="8"/>
  <c r="N35" i="8"/>
  <c r="O35" i="8"/>
  <c r="P35" i="8"/>
  <c r="Q35" i="8"/>
  <c r="R35" i="8"/>
  <c r="S35" i="8"/>
  <c r="T35" i="8"/>
  <c r="L36" i="8"/>
  <c r="M36" i="8"/>
  <c r="N36" i="8"/>
  <c r="O36" i="8"/>
  <c r="P36" i="8"/>
  <c r="Q36" i="8"/>
  <c r="R36" i="8"/>
  <c r="S36" i="8"/>
  <c r="T36" i="8"/>
  <c r="U36" i="8"/>
  <c r="L37" i="8"/>
  <c r="M37" i="8"/>
  <c r="N37" i="8"/>
  <c r="O37" i="8"/>
  <c r="P37" i="8"/>
  <c r="Q37" i="8"/>
  <c r="R37" i="8"/>
  <c r="S37" i="8"/>
  <c r="T37" i="8"/>
  <c r="U37" i="8"/>
  <c r="V37" i="8"/>
  <c r="L38" i="8"/>
  <c r="M38" i="8"/>
  <c r="N38" i="8"/>
  <c r="O38" i="8"/>
  <c r="P38" i="8"/>
  <c r="Q38" i="8"/>
  <c r="R38" i="8"/>
  <c r="S38" i="8"/>
  <c r="T38" i="8"/>
  <c r="U38" i="8"/>
  <c r="V38" i="8"/>
  <c r="W38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L59" i="8"/>
  <c r="M59" i="8"/>
  <c r="N59" i="8"/>
  <c r="O59" i="8"/>
  <c r="P59" i="8"/>
  <c r="Q59" i="8"/>
  <c r="R59" i="8"/>
  <c r="S59" i="8"/>
  <c r="T59" i="8"/>
  <c r="U59" i="8"/>
  <c r="V59" i="8"/>
  <c r="L60" i="8"/>
  <c r="M60" i="8"/>
  <c r="N60" i="8"/>
  <c r="O60" i="8"/>
  <c r="P60" i="8"/>
  <c r="Q60" i="8"/>
  <c r="R60" i="8"/>
  <c r="S60" i="8"/>
  <c r="T60" i="8"/>
  <c r="U60" i="8"/>
  <c r="V60" i="8"/>
  <c r="L61" i="8"/>
  <c r="M61" i="8"/>
  <c r="N61" i="8"/>
  <c r="O61" i="8"/>
  <c r="P61" i="8"/>
  <c r="Q61" i="8"/>
  <c r="R61" i="8"/>
  <c r="S61" i="8"/>
  <c r="T61" i="8"/>
  <c r="U61" i="8"/>
  <c r="V61" i="8"/>
  <c r="L62" i="8"/>
  <c r="M62" i="8"/>
  <c r="N62" i="8"/>
  <c r="O62" i="8"/>
  <c r="P62" i="8"/>
  <c r="Q62" i="8"/>
  <c r="R62" i="8"/>
  <c r="S62" i="8"/>
  <c r="T62" i="8"/>
  <c r="U62" i="8"/>
  <c r="V62" i="8"/>
  <c r="L63" i="8"/>
  <c r="M63" i="8"/>
  <c r="N63" i="8"/>
  <c r="O63" i="8"/>
  <c r="P63" i="8"/>
  <c r="Q63" i="8"/>
  <c r="R63" i="8"/>
  <c r="S63" i="8"/>
  <c r="T63" i="8"/>
  <c r="U63" i="8"/>
  <c r="V63" i="8"/>
  <c r="L64" i="8"/>
  <c r="M64" i="8"/>
  <c r="N64" i="8"/>
  <c r="O64" i="8"/>
  <c r="P64" i="8"/>
  <c r="Q64" i="8"/>
  <c r="R64" i="8"/>
  <c r="S64" i="8"/>
  <c r="T64" i="8"/>
  <c r="U64" i="8"/>
  <c r="V64" i="8"/>
  <c r="AP29" i="8" l="1"/>
  <c r="N73" i="8" s="1"/>
  <c r="M21" i="9" s="1"/>
  <c r="L118" i="8"/>
  <c r="AP24" i="8"/>
  <c r="AP31" i="8"/>
  <c r="P73" i="8" s="1"/>
  <c r="O21" i="9" s="1"/>
  <c r="AP34" i="8"/>
  <c r="S73" i="8" s="1"/>
  <c r="R21" i="9" s="1"/>
  <c r="AP47" i="8"/>
  <c r="AF73" i="8" s="1"/>
  <c r="AE21" i="9" s="1"/>
  <c r="R66" i="8"/>
  <c r="AP50" i="8"/>
  <c r="AI73" i="8" s="1"/>
  <c r="AH21" i="9" s="1"/>
  <c r="AP37" i="8"/>
  <c r="V73" i="8" s="1"/>
  <c r="U21" i="9" s="1"/>
  <c r="AP51" i="8"/>
  <c r="AJ73" i="8" s="1"/>
  <c r="AI21" i="9" s="1"/>
  <c r="AP45" i="8"/>
  <c r="AD73" i="8" s="1"/>
  <c r="AC21" i="9" s="1"/>
  <c r="AP62" i="8"/>
  <c r="AU73" i="8" s="1"/>
  <c r="AT21" i="9" s="1"/>
  <c r="AP55" i="8"/>
  <c r="AN73" i="8" s="1"/>
  <c r="AM21" i="9" s="1"/>
  <c r="M66" i="8"/>
  <c r="O66" i="8"/>
  <c r="AP39" i="8"/>
  <c r="X73" i="8" s="1"/>
  <c r="W21" i="9" s="1"/>
  <c r="N66" i="8"/>
  <c r="AP28" i="8"/>
  <c r="M73" i="8" s="1"/>
  <c r="L21" i="9" s="1"/>
  <c r="AP49" i="8"/>
  <c r="AH73" i="8" s="1"/>
  <c r="AG21" i="9" s="1"/>
  <c r="P66" i="8"/>
  <c r="AP38" i="8"/>
  <c r="W73" i="8" s="1"/>
  <c r="V21" i="9" s="1"/>
  <c r="U66" i="8"/>
  <c r="AP35" i="8"/>
  <c r="T73" i="8" s="1"/>
  <c r="S21" i="9" s="1"/>
  <c r="L66" i="8"/>
  <c r="AP30" i="8"/>
  <c r="O73" i="8" s="1"/>
  <c r="N21" i="9" s="1"/>
  <c r="AP46" i="8"/>
  <c r="AE73" i="8" s="1"/>
  <c r="AD21" i="9" s="1"/>
  <c r="AP56" i="8"/>
  <c r="AO73" i="8" s="1"/>
  <c r="AN21" i="9" s="1"/>
  <c r="AP58" i="8"/>
  <c r="AQ73" i="8" s="1"/>
  <c r="AP21" i="9" s="1"/>
  <c r="AP57" i="8"/>
  <c r="AP73" i="8" s="1"/>
  <c r="AO21" i="9" s="1"/>
  <c r="AP43" i="8"/>
  <c r="AB73" i="8" s="1"/>
  <c r="AA21" i="9" s="1"/>
  <c r="T66" i="8"/>
  <c r="AP40" i="8"/>
  <c r="Y73" i="8" s="1"/>
  <c r="X21" i="9" s="1"/>
  <c r="S66" i="8"/>
  <c r="AP48" i="8"/>
  <c r="AG73" i="8" s="1"/>
  <c r="AF21" i="9" s="1"/>
  <c r="AP63" i="8"/>
  <c r="AP60" i="8"/>
  <c r="AS73" i="8" s="1"/>
  <c r="AR21" i="9" s="1"/>
  <c r="AP59" i="8"/>
  <c r="AR73" i="8" s="1"/>
  <c r="AQ21" i="9" s="1"/>
  <c r="Q66" i="8"/>
  <c r="AP32" i="8"/>
  <c r="Q73" i="8" s="1"/>
  <c r="P21" i="9" s="1"/>
  <c r="AP64" i="8"/>
  <c r="AP61" i="8"/>
  <c r="AT73" i="8" s="1"/>
  <c r="AS21" i="9" s="1"/>
  <c r="AP54" i="8"/>
  <c r="AM73" i="8" s="1"/>
  <c r="AL21" i="9" s="1"/>
  <c r="AP53" i="8"/>
  <c r="AL73" i="8" s="1"/>
  <c r="AK21" i="9" s="1"/>
  <c r="AP52" i="8"/>
  <c r="AK73" i="8" s="1"/>
  <c r="AJ21" i="9" s="1"/>
  <c r="AP44" i="8"/>
  <c r="AC73" i="8" s="1"/>
  <c r="AB21" i="9" s="1"/>
  <c r="AP42" i="8"/>
  <c r="AA73" i="8" s="1"/>
  <c r="Z21" i="9" s="1"/>
  <c r="AP41" i="8"/>
  <c r="Z73" i="8" s="1"/>
  <c r="Y21" i="9" s="1"/>
  <c r="AP33" i="8"/>
  <c r="R73" i="8" s="1"/>
  <c r="Q21" i="9" s="1"/>
  <c r="AP36" i="8"/>
  <c r="U73" i="8" s="1"/>
  <c r="T21" i="9" s="1"/>
  <c r="K25" i="9"/>
  <c r="K21" i="9"/>
  <c r="L76" i="8"/>
  <c r="L75" i="8"/>
  <c r="L74" i="8"/>
  <c r="L99" i="8"/>
  <c r="K37" i="9" s="1"/>
  <c r="L105" i="8"/>
  <c r="K38" i="9" s="1"/>
  <c r="L111" i="8"/>
  <c r="K39" i="9" s="1"/>
  <c r="N105" i="8" l="1"/>
  <c r="M38" i="9" s="1"/>
  <c r="AD76" i="8"/>
  <c r="AD90" i="8" s="1"/>
  <c r="N99" i="8"/>
  <c r="M37" i="9" s="1"/>
  <c r="N76" i="8"/>
  <c r="N90" i="8" s="1"/>
  <c r="AJ99" i="8"/>
  <c r="AI37" i="9" s="1"/>
  <c r="N74" i="8"/>
  <c r="N82" i="8" s="1"/>
  <c r="M30" i="9" s="1"/>
  <c r="S105" i="8"/>
  <c r="R38" i="9" s="1"/>
  <c r="N111" i="8"/>
  <c r="M39" i="9" s="1"/>
  <c r="AD74" i="8"/>
  <c r="AD82" i="8" s="1"/>
  <c r="AC30" i="9" s="1"/>
  <c r="S111" i="8"/>
  <c r="R39" i="9" s="1"/>
  <c r="AG75" i="8"/>
  <c r="AG86" i="8" s="1"/>
  <c r="AF31" i="9" s="1"/>
  <c r="O76" i="8"/>
  <c r="O90" i="8" s="1"/>
  <c r="AU74" i="8"/>
  <c r="AU82" i="8" s="1"/>
  <c r="AT30" i="9" s="1"/>
  <c r="P99" i="8"/>
  <c r="O37" i="9" s="1"/>
  <c r="P75" i="8"/>
  <c r="O19" i="9" s="1"/>
  <c r="O25" i="9"/>
  <c r="AC25" i="9"/>
  <c r="AJ75" i="8"/>
  <c r="AI19" i="9" s="1"/>
  <c r="T105" i="8"/>
  <c r="S38" i="9" s="1"/>
  <c r="P111" i="8"/>
  <c r="O39" i="9" s="1"/>
  <c r="P105" i="8"/>
  <c r="O38" i="9" s="1"/>
  <c r="AQ105" i="8"/>
  <c r="AP38" i="9" s="1"/>
  <c r="AE75" i="8"/>
  <c r="AD19" i="9" s="1"/>
  <c r="AT25" i="9"/>
  <c r="AQ111" i="8"/>
  <c r="AP39" i="9" s="1"/>
  <c r="T75" i="8"/>
  <c r="S19" i="9" s="1"/>
  <c r="AU105" i="8"/>
  <c r="AT38" i="9" s="1"/>
  <c r="AU99" i="8"/>
  <c r="AT37" i="9" s="1"/>
  <c r="AF105" i="8"/>
  <c r="AE38" i="9" s="1"/>
  <c r="AF99" i="8"/>
  <c r="AE37" i="9" s="1"/>
  <c r="AS105" i="8"/>
  <c r="AR38" i="9" s="1"/>
  <c r="AI76" i="8"/>
  <c r="AH20" i="9" s="1"/>
  <c r="AS99" i="8"/>
  <c r="AR37" i="9" s="1"/>
  <c r="AK105" i="8"/>
  <c r="AJ38" i="9" s="1"/>
  <c r="AU76" i="8"/>
  <c r="AU90" i="8" s="1"/>
  <c r="AT32" i="9" s="1"/>
  <c r="Z75" i="8"/>
  <c r="Z86" i="8" s="1"/>
  <c r="Y31" i="9" s="1"/>
  <c r="Q76" i="8"/>
  <c r="P20" i="9" s="1"/>
  <c r="AF111" i="8"/>
  <c r="AE39" i="9" s="1"/>
  <c r="AK99" i="8"/>
  <c r="AJ37" i="9" s="1"/>
  <c r="S99" i="8"/>
  <c r="R37" i="9" s="1"/>
  <c r="AK111" i="8"/>
  <c r="AJ39" i="9" s="1"/>
  <c r="AS76" i="8"/>
  <c r="AR20" i="9" s="1"/>
  <c r="AS74" i="8"/>
  <c r="AS82" i="8" s="1"/>
  <c r="AR30" i="9" s="1"/>
  <c r="R111" i="8"/>
  <c r="Q39" i="9" s="1"/>
  <c r="Y99" i="8"/>
  <c r="X37" i="9" s="1"/>
  <c r="W99" i="8"/>
  <c r="V37" i="9" s="1"/>
  <c r="R105" i="8"/>
  <c r="Q38" i="9" s="1"/>
  <c r="Y75" i="8"/>
  <c r="Y86" i="8" s="1"/>
  <c r="X31" i="9" s="1"/>
  <c r="AQ99" i="8"/>
  <c r="AP37" i="9" s="1"/>
  <c r="X111" i="8"/>
  <c r="W39" i="9" s="1"/>
  <c r="AI74" i="8"/>
  <c r="AI82" i="8" s="1"/>
  <c r="AH30" i="9" s="1"/>
  <c r="X99" i="8"/>
  <c r="W37" i="9" s="1"/>
  <c r="R99" i="8"/>
  <c r="Q37" i="9" s="1"/>
  <c r="R76" i="8"/>
  <c r="Q20" i="9" s="1"/>
  <c r="Z76" i="8"/>
  <c r="Z90" i="8" s="1"/>
  <c r="X76" i="8"/>
  <c r="X90" i="8" s="1"/>
  <c r="AI105" i="8"/>
  <c r="AH38" i="9" s="1"/>
  <c r="AT111" i="8"/>
  <c r="AS39" i="9" s="1"/>
  <c r="X75" i="8"/>
  <c r="X86" i="8" s="1"/>
  <c r="W31" i="9" s="1"/>
  <c r="AA111" i="8"/>
  <c r="Z39" i="9" s="1"/>
  <c r="AI111" i="8"/>
  <c r="AH39" i="9" s="1"/>
  <c r="N25" i="9"/>
  <c r="Q99" i="8"/>
  <c r="P37" i="9" s="1"/>
  <c r="Q75" i="8"/>
  <c r="P19" i="9" s="1"/>
  <c r="Y111" i="8"/>
  <c r="X39" i="9" s="1"/>
  <c r="AE111" i="8"/>
  <c r="AD39" i="9" s="1"/>
  <c r="AI99" i="8"/>
  <c r="AH37" i="9" s="1"/>
  <c r="AM99" i="8"/>
  <c r="AL37" i="9" s="1"/>
  <c r="AT76" i="8"/>
  <c r="AT90" i="8" s="1"/>
  <c r="AS32" i="9" s="1"/>
  <c r="W25" i="9"/>
  <c r="O75" i="8"/>
  <c r="N19" i="9" s="1"/>
  <c r="Y105" i="8"/>
  <c r="X38" i="9" s="1"/>
  <c r="AI75" i="8"/>
  <c r="AI86" i="8" s="1"/>
  <c r="AH31" i="9" s="1"/>
  <c r="AT75" i="8"/>
  <c r="AT86" i="8" s="1"/>
  <c r="AS31" i="9" s="1"/>
  <c r="X74" i="8"/>
  <c r="X82" i="8" s="1"/>
  <c r="W30" i="9" s="1"/>
  <c r="N75" i="8"/>
  <c r="N86" i="8" s="1"/>
  <c r="M31" i="9" s="1"/>
  <c r="T99" i="8"/>
  <c r="S37" i="9" s="1"/>
  <c r="V111" i="8"/>
  <c r="U39" i="9" s="1"/>
  <c r="AE76" i="8"/>
  <c r="AE90" i="8" s="1"/>
  <c r="AH76" i="8"/>
  <c r="AH90" i="8" s="1"/>
  <c r="AJ76" i="8"/>
  <c r="AJ90" i="8" s="1"/>
  <c r="T25" i="9"/>
  <c r="AI25" i="9"/>
  <c r="U76" i="8"/>
  <c r="U90" i="8" s="1"/>
  <c r="AG76" i="8"/>
  <c r="AG90" i="8" s="1"/>
  <c r="V105" i="8"/>
  <c r="U38" i="9" s="1"/>
  <c r="AD111" i="8"/>
  <c r="AC39" i="9" s="1"/>
  <c r="V74" i="8"/>
  <c r="V82" i="8" s="1"/>
  <c r="U30" i="9" s="1"/>
  <c r="AJ74" i="8"/>
  <c r="AJ82" i="8" s="1"/>
  <c r="AI30" i="9" s="1"/>
  <c r="O111" i="8"/>
  <c r="N39" i="9" s="1"/>
  <c r="T76" i="8"/>
  <c r="T90" i="8" s="1"/>
  <c r="V99" i="8"/>
  <c r="U37" i="9" s="1"/>
  <c r="AD105" i="8"/>
  <c r="AC38" i="9" s="1"/>
  <c r="M111" i="8"/>
  <c r="L39" i="9" s="1"/>
  <c r="O105" i="8"/>
  <c r="N38" i="9" s="1"/>
  <c r="Q111" i="8"/>
  <c r="P39" i="9" s="1"/>
  <c r="U111" i="8"/>
  <c r="T39" i="9" s="1"/>
  <c r="V75" i="8"/>
  <c r="U19" i="9" s="1"/>
  <c r="AD99" i="8"/>
  <c r="AC37" i="9" s="1"/>
  <c r="M74" i="8"/>
  <c r="L18" i="9" s="1"/>
  <c r="M76" i="8"/>
  <c r="L20" i="9" s="1"/>
  <c r="O99" i="8"/>
  <c r="N37" i="9" s="1"/>
  <c r="Q105" i="8"/>
  <c r="P38" i="9" s="1"/>
  <c r="U105" i="8"/>
  <c r="T38" i="9" s="1"/>
  <c r="V76" i="8"/>
  <c r="U20" i="9" s="1"/>
  <c r="AD75" i="8"/>
  <c r="AD86" i="8" s="1"/>
  <c r="AC31" i="9" s="1"/>
  <c r="AG105" i="8"/>
  <c r="AF38" i="9" s="1"/>
  <c r="AM111" i="8"/>
  <c r="AL39" i="9" s="1"/>
  <c r="M25" i="9"/>
  <c r="Y74" i="8"/>
  <c r="Y82" i="8" s="1"/>
  <c r="X30" i="9" s="1"/>
  <c r="U75" i="8"/>
  <c r="U86" i="8" s="1"/>
  <c r="T31" i="9" s="1"/>
  <c r="U99" i="8"/>
  <c r="T37" i="9" s="1"/>
  <c r="AG99" i="8"/>
  <c r="AF37" i="9" s="1"/>
  <c r="AM105" i="8"/>
  <c r="AL38" i="9" s="1"/>
  <c r="AA105" i="8"/>
  <c r="Z38" i="9" s="1"/>
  <c r="AB76" i="8"/>
  <c r="AB90" i="8" s="1"/>
  <c r="AH111" i="8"/>
  <c r="AG39" i="9" s="1"/>
  <c r="AL76" i="8"/>
  <c r="AL90" i="8" s="1"/>
  <c r="AP76" i="8"/>
  <c r="AP90" i="8" s="1"/>
  <c r="AO32" i="9" s="1"/>
  <c r="AR99" i="8"/>
  <c r="AQ37" i="9" s="1"/>
  <c r="S74" i="8"/>
  <c r="S82" i="8" s="1"/>
  <c r="R30" i="9" s="1"/>
  <c r="AB74" i="8"/>
  <c r="AP25" i="9"/>
  <c r="AP75" i="8"/>
  <c r="AP86" i="8" s="1"/>
  <c r="AO31" i="9" s="1"/>
  <c r="AS111" i="8"/>
  <c r="AR39" i="9" s="1"/>
  <c r="AU111" i="8"/>
  <c r="AT39" i="9" s="1"/>
  <c r="AQ74" i="8"/>
  <c r="AQ82" i="8" s="1"/>
  <c r="AP30" i="9" s="1"/>
  <c r="S75" i="8"/>
  <c r="R19" i="9" s="1"/>
  <c r="W75" i="8"/>
  <c r="V19" i="9" s="1"/>
  <c r="AN75" i="8"/>
  <c r="AN86" i="8" s="1"/>
  <c r="AM31" i="9" s="1"/>
  <c r="AK75" i="8"/>
  <c r="AK86" i="8" s="1"/>
  <c r="AJ31" i="9" s="1"/>
  <c r="AN76" i="8"/>
  <c r="AM20" i="9" s="1"/>
  <c r="AQ76" i="8"/>
  <c r="AQ90" i="8" s="1"/>
  <c r="AP32" i="9" s="1"/>
  <c r="AS75" i="8"/>
  <c r="AS86" i="8" s="1"/>
  <c r="AR31" i="9" s="1"/>
  <c r="AU75" i="8"/>
  <c r="AU86" i="8" s="1"/>
  <c r="AT31" i="9" s="1"/>
  <c r="P74" i="8"/>
  <c r="O18" i="9" s="1"/>
  <c r="L93" i="2"/>
  <c r="L78" i="2"/>
  <c r="AP118" i="8"/>
  <c r="AB99" i="8"/>
  <c r="AA37" i="9" s="1"/>
  <c r="AK76" i="8"/>
  <c r="AJ20" i="9" s="1"/>
  <c r="AO111" i="8"/>
  <c r="AN39" i="9" s="1"/>
  <c r="AQ75" i="8"/>
  <c r="AQ86" i="8" s="1"/>
  <c r="AP31" i="9" s="1"/>
  <c r="Q25" i="9"/>
  <c r="Y25" i="9"/>
  <c r="AK74" i="8"/>
  <c r="AJ18" i="9" s="1"/>
  <c r="AA99" i="8"/>
  <c r="Z37" i="9" s="1"/>
  <c r="W76" i="8"/>
  <c r="W90" i="8" s="1"/>
  <c r="AB105" i="8"/>
  <c r="AA38" i="9" s="1"/>
  <c r="P76" i="8"/>
  <c r="O20" i="9" s="1"/>
  <c r="R75" i="8"/>
  <c r="Q19" i="9" s="1"/>
  <c r="X105" i="8"/>
  <c r="W38" i="9" s="1"/>
  <c r="Y76" i="8"/>
  <c r="X20" i="9" s="1"/>
  <c r="AB75" i="8"/>
  <c r="AA19" i="9" s="1"/>
  <c r="AL111" i="8"/>
  <c r="AK39" i="9" s="1"/>
  <c r="AO105" i="8"/>
  <c r="AN38" i="9" s="1"/>
  <c r="AR105" i="8"/>
  <c r="AQ38" i="9" s="1"/>
  <c r="R25" i="9"/>
  <c r="Z25" i="9"/>
  <c r="AL74" i="8"/>
  <c r="AL82" i="8" s="1"/>
  <c r="AK30" i="9" s="1"/>
  <c r="AR75" i="8"/>
  <c r="AR86" i="8" s="1"/>
  <c r="AQ31" i="9" s="1"/>
  <c r="V25" i="9"/>
  <c r="AR76" i="8"/>
  <c r="AQ20" i="9" s="1"/>
  <c r="M105" i="8"/>
  <c r="L38" i="9" s="1"/>
  <c r="Z111" i="8"/>
  <c r="Y39" i="9" s="1"/>
  <c r="AA75" i="8"/>
  <c r="Z19" i="9" s="1"/>
  <c r="AC105" i="8"/>
  <c r="AB38" i="9" s="1"/>
  <c r="AF75" i="8"/>
  <c r="AE19" i="9" s="1"/>
  <c r="AH105" i="8"/>
  <c r="AG38" i="9" s="1"/>
  <c r="AM75" i="8"/>
  <c r="AM86" i="8" s="1"/>
  <c r="AL31" i="9" s="1"/>
  <c r="AO99" i="8"/>
  <c r="AN37" i="9" s="1"/>
  <c r="AE25" i="9"/>
  <c r="AO25" i="9"/>
  <c r="AC111" i="8"/>
  <c r="AB39" i="9" s="1"/>
  <c r="M99" i="8"/>
  <c r="L37" i="9" s="1"/>
  <c r="S76" i="8"/>
  <c r="R20" i="9" s="1"/>
  <c r="W111" i="8"/>
  <c r="V39" i="9" s="1"/>
  <c r="Z105" i="8"/>
  <c r="Y38" i="9" s="1"/>
  <c r="AA76" i="8"/>
  <c r="AA90" i="8" s="1"/>
  <c r="AC75" i="8"/>
  <c r="AB19" i="9" s="1"/>
  <c r="AE105" i="8"/>
  <c r="AD38" i="9" s="1"/>
  <c r="AF76" i="8"/>
  <c r="AE20" i="9" s="1"/>
  <c r="AH99" i="8"/>
  <c r="AG37" i="9" s="1"/>
  <c r="AJ111" i="8"/>
  <c r="AI39" i="9" s="1"/>
  <c r="AN111" i="8"/>
  <c r="AM39" i="9" s="1"/>
  <c r="AP111" i="8"/>
  <c r="AO39" i="9" s="1"/>
  <c r="AF74" i="8"/>
  <c r="AP74" i="8"/>
  <c r="AP82" i="8" s="1"/>
  <c r="AO30" i="9" s="1"/>
  <c r="M75" i="8"/>
  <c r="L19" i="9" s="1"/>
  <c r="T111" i="8"/>
  <c r="S39" i="9" s="1"/>
  <c r="W105" i="8"/>
  <c r="V38" i="9" s="1"/>
  <c r="Z99" i="8"/>
  <c r="Y37" i="9" s="1"/>
  <c r="AB111" i="8"/>
  <c r="AA39" i="9" s="1"/>
  <c r="AC76" i="8"/>
  <c r="AB20" i="9" s="1"/>
  <c r="AE99" i="8"/>
  <c r="AD37" i="9" s="1"/>
  <c r="AG111" i="8"/>
  <c r="AF39" i="9" s="1"/>
  <c r="AH75" i="8"/>
  <c r="AH86" i="8" s="1"/>
  <c r="AG31" i="9" s="1"/>
  <c r="AJ105" i="8"/>
  <c r="AI38" i="9" s="1"/>
  <c r="AN105" i="8"/>
  <c r="AM38" i="9" s="1"/>
  <c r="AP105" i="8"/>
  <c r="AO38" i="9" s="1"/>
  <c r="AG25" i="9"/>
  <c r="AN99" i="8"/>
  <c r="AM37" i="9" s="1"/>
  <c r="AP99" i="8"/>
  <c r="AO37" i="9" s="1"/>
  <c r="AR111" i="8"/>
  <c r="AQ39" i="9" s="1"/>
  <c r="AL105" i="8"/>
  <c r="AK38" i="9" s="1"/>
  <c r="AO76" i="8"/>
  <c r="AN20" i="9" s="1"/>
  <c r="AL99" i="8"/>
  <c r="AK37" i="9" s="1"/>
  <c r="AL75" i="8"/>
  <c r="AK19" i="9" s="1"/>
  <c r="AD25" i="9"/>
  <c r="AK25" i="9"/>
  <c r="AO74" i="8"/>
  <c r="R74" i="8"/>
  <c r="R82" i="8" s="1"/>
  <c r="Q30" i="9" s="1"/>
  <c r="AM76" i="8"/>
  <c r="AM90" i="8" s="1"/>
  <c r="AT105" i="8"/>
  <c r="AS38" i="9" s="1"/>
  <c r="O74" i="8"/>
  <c r="U74" i="8"/>
  <c r="AH74" i="8"/>
  <c r="AH82" i="8" s="1"/>
  <c r="AG30" i="9" s="1"/>
  <c r="AL25" i="9"/>
  <c r="AS25" i="9"/>
  <c r="AO75" i="8"/>
  <c r="AO86" i="8" s="1"/>
  <c r="AN31" i="9" s="1"/>
  <c r="AT99" i="8"/>
  <c r="AS37" i="9" s="1"/>
  <c r="U25" i="9"/>
  <c r="AH25" i="9"/>
  <c r="AN74" i="8"/>
  <c r="AT74" i="8"/>
  <c r="AT82" i="8" s="1"/>
  <c r="AS30" i="9" s="1"/>
  <c r="Q74" i="8"/>
  <c r="AC74" i="8"/>
  <c r="AG74" i="8"/>
  <c r="Z74" i="8"/>
  <c r="Z82" i="8" s="1"/>
  <c r="Y30" i="9" s="1"/>
  <c r="W74" i="8"/>
  <c r="AA74" i="8"/>
  <c r="AE74" i="8"/>
  <c r="AM74" i="8"/>
  <c r="S25" i="9"/>
  <c r="AA25" i="9"/>
  <c r="AM25" i="9"/>
  <c r="AQ25" i="9"/>
  <c r="T74" i="8"/>
  <c r="AR74" i="8"/>
  <c r="AC99" i="8"/>
  <c r="AB37" i="9" s="1"/>
  <c r="L25" i="9"/>
  <c r="P25" i="9"/>
  <c r="X25" i="9"/>
  <c r="AB25" i="9"/>
  <c r="AF25" i="9"/>
  <c r="AJ25" i="9"/>
  <c r="AN25" i="9"/>
  <c r="AR25" i="9"/>
  <c r="AC20" i="9"/>
  <c r="AJ86" i="8"/>
  <c r="AI31" i="9" s="1"/>
  <c r="L90" i="8"/>
  <c r="K32" i="9" s="1"/>
  <c r="K20" i="9"/>
  <c r="L86" i="8"/>
  <c r="K31" i="9" s="1"/>
  <c r="K19" i="9"/>
  <c r="L82" i="8"/>
  <c r="K30" i="9" s="1"/>
  <c r="K18" i="9"/>
  <c r="K22" i="9" s="1"/>
  <c r="AF19" i="9" l="1"/>
  <c r="M18" i="9"/>
  <c r="P86" i="8"/>
  <c r="O31" i="9" s="1"/>
  <c r="N20" i="9"/>
  <c r="AC18" i="9"/>
  <c r="T86" i="8"/>
  <c r="S31" i="9" s="1"/>
  <c r="M20" i="9"/>
  <c r="AE86" i="8"/>
  <c r="AD31" i="9" s="1"/>
  <c r="AI90" i="8"/>
  <c r="AS90" i="8"/>
  <c r="AR32" i="9" s="1"/>
  <c r="AR33" i="9" s="1"/>
  <c r="AR40" i="9" s="1"/>
  <c r="AR55" i="9" s="1"/>
  <c r="X19" i="9"/>
  <c r="AT18" i="9"/>
  <c r="Y20" i="9"/>
  <c r="Q86" i="8"/>
  <c r="P31" i="9" s="1"/>
  <c r="Q90" i="8"/>
  <c r="W20" i="9"/>
  <c r="Y19" i="9"/>
  <c r="W19" i="9"/>
  <c r="AT20" i="9"/>
  <c r="AS19" i="9"/>
  <c r="AS22" i="9" s="1"/>
  <c r="AH18" i="9"/>
  <c r="S20" i="9"/>
  <c r="W18" i="9"/>
  <c r="R90" i="8"/>
  <c r="O86" i="8"/>
  <c r="N31" i="9" s="1"/>
  <c r="AS20" i="9"/>
  <c r="M90" i="8"/>
  <c r="AF20" i="9"/>
  <c r="AJ19" i="9"/>
  <c r="AI20" i="9"/>
  <c r="T19" i="9"/>
  <c r="AD20" i="9"/>
  <c r="AO20" i="9"/>
  <c r="AK20" i="9"/>
  <c r="AG20" i="9"/>
  <c r="U18" i="9"/>
  <c r="AK90" i="8"/>
  <c r="R86" i="8"/>
  <c r="Q31" i="9" s="1"/>
  <c r="W86" i="8"/>
  <c r="V31" i="9" s="1"/>
  <c r="AH19" i="9"/>
  <c r="Y90" i="8"/>
  <c r="V90" i="8"/>
  <c r="AM19" i="9"/>
  <c r="M82" i="8"/>
  <c r="L30" i="9" s="1"/>
  <c r="T20" i="9"/>
  <c r="AN90" i="8"/>
  <c r="M19" i="9"/>
  <c r="V86" i="8"/>
  <c r="U31" i="9" s="1"/>
  <c r="AF90" i="8"/>
  <c r="AA20" i="9"/>
  <c r="AQ19" i="9"/>
  <c r="AQ22" i="9" s="1"/>
  <c r="AR90" i="8"/>
  <c r="AQ32" i="9" s="1"/>
  <c r="AP20" i="9"/>
  <c r="V20" i="9"/>
  <c r="AO19" i="9"/>
  <c r="AO22" i="9" s="1"/>
  <c r="AC19" i="9"/>
  <c r="R18" i="9"/>
  <c r="AF86" i="8"/>
  <c r="AE31" i="9" s="1"/>
  <c r="AB86" i="8"/>
  <c r="AA31" i="9" s="1"/>
  <c r="AC90" i="8"/>
  <c r="S90" i="8"/>
  <c r="AO90" i="8"/>
  <c r="AG19" i="9"/>
  <c r="Z20" i="9"/>
  <c r="AK18" i="9"/>
  <c r="AR18" i="9"/>
  <c r="AL19" i="9"/>
  <c r="P82" i="8"/>
  <c r="O30" i="9" s="1"/>
  <c r="AN19" i="9"/>
  <c r="AG18" i="9"/>
  <c r="P90" i="8"/>
  <c r="AI18" i="9"/>
  <c r="Q18" i="9"/>
  <c r="AO18" i="9"/>
  <c r="AL86" i="8"/>
  <c r="AK31" i="9" s="1"/>
  <c r="AL20" i="9"/>
  <c r="X18" i="9"/>
  <c r="AK82" i="8"/>
  <c r="AJ30" i="9" s="1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L69" i="7"/>
  <c r="AK69" i="7"/>
  <c r="AM69" i="7"/>
  <c r="AN69" i="7"/>
  <c r="AO69" i="7"/>
  <c r="AB82" i="8"/>
  <c r="AA30" i="9" s="1"/>
  <c r="AA18" i="9"/>
  <c r="AR19" i="9"/>
  <c r="AR22" i="9" s="1"/>
  <c r="AC86" i="8"/>
  <c r="AB31" i="9" s="1"/>
  <c r="AA86" i="8"/>
  <c r="Z31" i="9" s="1"/>
  <c r="S86" i="8"/>
  <c r="R31" i="9" s="1"/>
  <c r="M86" i="8"/>
  <c r="L31" i="9" s="1"/>
  <c r="AP18" i="9"/>
  <c r="AT19" i="9"/>
  <c r="AT22" i="9" s="1"/>
  <c r="AP19" i="9"/>
  <c r="AP22" i="9" s="1"/>
  <c r="N116" i="8"/>
  <c r="N120" i="8" s="1"/>
  <c r="N128" i="8" s="1"/>
  <c r="AS18" i="9"/>
  <c r="AF82" i="8"/>
  <c r="AE30" i="9" s="1"/>
  <c r="AE18" i="9"/>
  <c r="R48" i="9"/>
  <c r="Q48" i="9"/>
  <c r="Y18" i="9"/>
  <c r="AO48" i="9"/>
  <c r="M48" i="9"/>
  <c r="AG48" i="9"/>
  <c r="AB48" i="9"/>
  <c r="AQ48" i="9"/>
  <c r="O82" i="8"/>
  <c r="N30" i="9" s="1"/>
  <c r="N18" i="9"/>
  <c r="K33" i="9"/>
  <c r="K40" i="9" s="1"/>
  <c r="K55" i="9" s="1"/>
  <c r="AO33" i="9"/>
  <c r="AO40" i="9" s="1"/>
  <c r="AO55" i="9" s="1"/>
  <c r="Y48" i="9"/>
  <c r="AH48" i="9"/>
  <c r="AM48" i="9"/>
  <c r="Z116" i="8"/>
  <c r="Z120" i="8" s="1"/>
  <c r="Z128" i="8" s="1"/>
  <c r="AJ48" i="9"/>
  <c r="AN82" i="8"/>
  <c r="AM30" i="9" s="1"/>
  <c r="AM18" i="9"/>
  <c r="AH116" i="8"/>
  <c r="AH120" i="8" s="1"/>
  <c r="AH128" i="8" s="1"/>
  <c r="U82" i="8"/>
  <c r="T30" i="9" s="1"/>
  <c r="T18" i="9"/>
  <c r="AN18" i="9"/>
  <c r="AO82" i="8"/>
  <c r="AN30" i="9" s="1"/>
  <c r="AE82" i="8"/>
  <c r="AD30" i="9" s="1"/>
  <c r="AD18" i="9"/>
  <c r="AN48" i="9"/>
  <c r="AF48" i="9"/>
  <c r="X48" i="9"/>
  <c r="P48" i="9"/>
  <c r="AR82" i="8"/>
  <c r="AQ18" i="9"/>
  <c r="AA82" i="8"/>
  <c r="Z18" i="9"/>
  <c r="K48" i="9"/>
  <c r="AE48" i="9"/>
  <c r="W48" i="9"/>
  <c r="O48" i="9"/>
  <c r="T82" i="8"/>
  <c r="S18" i="9"/>
  <c r="W82" i="8"/>
  <c r="V30" i="9" s="1"/>
  <c r="V18" i="9"/>
  <c r="AT48" i="9"/>
  <c r="AL48" i="9"/>
  <c r="AD48" i="9"/>
  <c r="V48" i="9"/>
  <c r="N48" i="9"/>
  <c r="AJ116" i="8"/>
  <c r="AJ120" i="8" s="1"/>
  <c r="AJ128" i="8" s="1"/>
  <c r="AS48" i="9"/>
  <c r="AK48" i="9"/>
  <c r="AC48" i="9"/>
  <c r="U48" i="9"/>
  <c r="AR48" i="9"/>
  <c r="T48" i="9"/>
  <c r="L48" i="9"/>
  <c r="AG82" i="8"/>
  <c r="AF30" i="9" s="1"/>
  <c r="AF18" i="9"/>
  <c r="AP116" i="8"/>
  <c r="AP120" i="8" s="1"/>
  <c r="AP128" i="8" s="1"/>
  <c r="AI48" i="9"/>
  <c r="AA48" i="9"/>
  <c r="S48" i="9"/>
  <c r="AC82" i="8"/>
  <c r="AB30" i="9" s="1"/>
  <c r="AB18" i="9"/>
  <c r="AP48" i="9"/>
  <c r="Z48" i="9"/>
  <c r="AM82" i="8"/>
  <c r="AL30" i="9" s="1"/>
  <c r="AL18" i="9"/>
  <c r="Q82" i="8"/>
  <c r="P30" i="9" s="1"/>
  <c r="P18" i="9"/>
  <c r="X116" i="8"/>
  <c r="X120" i="8" s="1"/>
  <c r="X128" i="8" s="1"/>
  <c r="L116" i="8"/>
  <c r="L120" i="8" s="1"/>
  <c r="L128" i="8" s="1"/>
  <c r="AT33" i="9"/>
  <c r="AT40" i="9" s="1"/>
  <c r="AT55" i="9" s="1"/>
  <c r="AP33" i="9"/>
  <c r="AP40" i="9" s="1"/>
  <c r="AP55" i="9" s="1"/>
  <c r="AQ116" i="8"/>
  <c r="AQ120" i="8" s="1"/>
  <c r="AQ128" i="8" s="1"/>
  <c r="AS33" i="9"/>
  <c r="AS40" i="9" s="1"/>
  <c r="AS55" i="9" s="1"/>
  <c r="AD116" i="8"/>
  <c r="AD120" i="8" s="1"/>
  <c r="AD128" i="8" s="1"/>
  <c r="AT116" i="8"/>
  <c r="AT120" i="8" s="1"/>
  <c r="AT128" i="8" s="1"/>
  <c r="AU116" i="8"/>
  <c r="AU120" i="8" s="1"/>
  <c r="AU128" i="8" s="1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AI116" i="8" l="1"/>
  <c r="AI120" i="8" s="1"/>
  <c r="AI128" i="8" s="1"/>
  <c r="AS116" i="8"/>
  <c r="AS120" i="8" s="1"/>
  <c r="AS128" i="8" s="1"/>
  <c r="R116" i="8"/>
  <c r="R120" i="8" s="1"/>
  <c r="R128" i="8" s="1"/>
  <c r="Y116" i="8"/>
  <c r="Y120" i="8" s="1"/>
  <c r="Y128" i="8" s="1"/>
  <c r="V116" i="8"/>
  <c r="V120" i="8" s="1"/>
  <c r="V128" i="8" s="1"/>
  <c r="AK116" i="8"/>
  <c r="AK120" i="8" s="1"/>
  <c r="AK128" i="8" s="1"/>
  <c r="M116" i="8"/>
  <c r="M120" i="8" s="1"/>
  <c r="M128" i="8" s="1"/>
  <c r="AL116" i="8"/>
  <c r="AL120" i="8" s="1"/>
  <c r="AL128" i="8" s="1"/>
  <c r="P116" i="8"/>
  <c r="P120" i="8" s="1"/>
  <c r="P128" i="8" s="1"/>
  <c r="AO116" i="8"/>
  <c r="AO120" i="8" s="1"/>
  <c r="AO128" i="8" s="1"/>
  <c r="AF116" i="8"/>
  <c r="AF120" i="8" s="1"/>
  <c r="AF128" i="8" s="1"/>
  <c r="AH47" i="9"/>
  <c r="Z47" i="9"/>
  <c r="R47" i="9"/>
  <c r="AG47" i="9"/>
  <c r="Y47" i="9"/>
  <c r="Q47" i="9"/>
  <c r="AN47" i="9"/>
  <c r="AF47" i="9"/>
  <c r="X47" i="9"/>
  <c r="P47" i="9"/>
  <c r="AG116" i="8"/>
  <c r="AG120" i="8" s="1"/>
  <c r="AG128" i="8" s="1"/>
  <c r="AM47" i="9"/>
  <c r="AE47" i="9"/>
  <c r="W47" i="9"/>
  <c r="O47" i="9"/>
  <c r="N47" i="9"/>
  <c r="AD47" i="9"/>
  <c r="AL47" i="9"/>
  <c r="V47" i="9"/>
  <c r="AJ47" i="9"/>
  <c r="AC47" i="9"/>
  <c r="U47" i="9"/>
  <c r="M47" i="9"/>
  <c r="AE116" i="8"/>
  <c r="AE120" i="8" s="1"/>
  <c r="AE128" i="8" s="1"/>
  <c r="U116" i="8"/>
  <c r="U120" i="8" s="1"/>
  <c r="U128" i="8" s="1"/>
  <c r="AB116" i="8"/>
  <c r="AB120" i="8" s="1"/>
  <c r="AB128" i="8" s="1"/>
  <c r="AK47" i="9"/>
  <c r="AB47" i="9"/>
  <c r="T47" i="9"/>
  <c r="L47" i="9"/>
  <c r="S116" i="8"/>
  <c r="S120" i="8" s="1"/>
  <c r="S128" i="8" s="1"/>
  <c r="AI47" i="9"/>
  <c r="AA47" i="9"/>
  <c r="S47" i="9"/>
  <c r="K47" i="9"/>
  <c r="L71" i="7"/>
  <c r="L79" i="7" s="1"/>
  <c r="W116" i="8"/>
  <c r="W120" i="8" s="1"/>
  <c r="W128" i="8" s="1"/>
  <c r="O116" i="8"/>
  <c r="O120" i="8" s="1"/>
  <c r="O128" i="8" s="1"/>
  <c r="Q116" i="8"/>
  <c r="Q120" i="8" s="1"/>
  <c r="Q128" i="8" s="1"/>
  <c r="AN116" i="8"/>
  <c r="AN120" i="8" s="1"/>
  <c r="AN128" i="8" s="1"/>
  <c r="AQ30" i="9"/>
  <c r="AQ33" i="9" s="1"/>
  <c r="AQ40" i="9" s="1"/>
  <c r="AQ55" i="9" s="1"/>
  <c r="AR116" i="8"/>
  <c r="AR120" i="8" s="1"/>
  <c r="AR128" i="8" s="1"/>
  <c r="AM116" i="8"/>
  <c r="AM120" i="8" s="1"/>
  <c r="AM128" i="8" s="1"/>
  <c r="AC116" i="8"/>
  <c r="AC120" i="8" s="1"/>
  <c r="AC128" i="8" s="1"/>
  <c r="S30" i="9"/>
  <c r="T116" i="8"/>
  <c r="T120" i="8" s="1"/>
  <c r="T128" i="8" s="1"/>
  <c r="Z30" i="9"/>
  <c r="AA116" i="8"/>
  <c r="AA120" i="8" s="1"/>
  <c r="AA128" i="8" s="1"/>
  <c r="AO41" i="9"/>
  <c r="AO45" i="9" s="1"/>
  <c r="AO49" i="9" s="1"/>
  <c r="AO54" i="9" s="1"/>
  <c r="AP41" i="9"/>
  <c r="AP45" i="9" s="1"/>
  <c r="AP49" i="9" s="1"/>
  <c r="AP54" i="9" s="1"/>
  <c r="AR41" i="9"/>
  <c r="AR45" i="9" s="1"/>
  <c r="AR49" i="9" s="1"/>
  <c r="AR54" i="9" s="1"/>
  <c r="AS41" i="9"/>
  <c r="AS45" i="9" s="1"/>
  <c r="AS49" i="9" s="1"/>
  <c r="AS54" i="9" s="1"/>
  <c r="AT41" i="9"/>
  <c r="AT45" i="9" s="1"/>
  <c r="AT49" i="9" s="1"/>
  <c r="AT54" i="9" s="1"/>
  <c r="K41" i="9"/>
  <c r="K45" i="9" s="1"/>
  <c r="K49" i="9" l="1"/>
  <c r="K54" i="9" s="1"/>
  <c r="AQ41" i="9"/>
  <c r="AQ45" i="9" s="1"/>
  <c r="AQ49" i="9" s="1"/>
  <c r="AQ54" i="9" s="1"/>
  <c r="L130" i="8"/>
  <c r="N14" i="3" s="1"/>
  <c r="O14" i="6" l="1"/>
  <c r="P28" i="6"/>
  <c r="P26" i="6" s="1"/>
  <c r="P23" i="6" s="1"/>
  <c r="Q28" i="6" l="1"/>
  <c r="P27" i="6"/>
  <c r="P29" i="6"/>
  <c r="M41" i="7"/>
  <c r="L14" i="9"/>
  <c r="R28" i="6" l="1"/>
  <c r="Q27" i="6"/>
  <c r="Q26" i="6"/>
  <c r="Q29" i="6"/>
  <c r="Q23" i="6"/>
  <c r="L32" i="9"/>
  <c r="L33" i="9" s="1"/>
  <c r="M67" i="7"/>
  <c r="M71" i="7" s="1"/>
  <c r="M79" i="7" s="1"/>
  <c r="M14" i="9" l="1"/>
  <c r="N41" i="7"/>
  <c r="S28" i="6"/>
  <c r="R29" i="6"/>
  <c r="R27" i="6"/>
  <c r="R26" i="6"/>
  <c r="R23" i="6"/>
  <c r="L40" i="9"/>
  <c r="N14" i="9" l="1"/>
  <c r="O41" i="7"/>
  <c r="S29" i="6"/>
  <c r="S27" i="6"/>
  <c r="S26" i="6"/>
  <c r="S23" i="6"/>
  <c r="N67" i="7"/>
  <c r="N71" i="7" s="1"/>
  <c r="N79" i="7" s="1"/>
  <c r="M32" i="9"/>
  <c r="M33" i="9" s="1"/>
  <c r="M40" i="9" s="1"/>
  <c r="L55" i="9"/>
  <c r="L41" i="9"/>
  <c r="L45" i="9" s="1"/>
  <c r="L49" i="9" s="1"/>
  <c r="L54" i="9" s="1"/>
  <c r="M55" i="9" l="1"/>
  <c r="M41" i="9"/>
  <c r="M45" i="9" s="1"/>
  <c r="M49" i="9" s="1"/>
  <c r="M54" i="9" s="1"/>
  <c r="S14" i="9"/>
  <c r="Q14" i="9"/>
  <c r="AQ14" i="9"/>
  <c r="AM14" i="9"/>
  <c r="AD14" i="9"/>
  <c r="AL14" i="9"/>
  <c r="AT14" i="9"/>
  <c r="AJ14" i="9"/>
  <c r="AF14" i="9"/>
  <c r="AK14" i="9"/>
  <c r="AR14" i="9"/>
  <c r="AB14" i="9"/>
  <c r="AC14" i="9"/>
  <c r="Y14" i="9"/>
  <c r="U14" i="9"/>
  <c r="Z14" i="9"/>
  <c r="AE14" i="9"/>
  <c r="AG14" i="9"/>
  <c r="AP14" i="9"/>
  <c r="AI14" i="9"/>
  <c r="AN14" i="9"/>
  <c r="P14" i="9"/>
  <c r="W14" i="9"/>
  <c r="AH14" i="9"/>
  <c r="X14" i="9"/>
  <c r="O14" i="9"/>
  <c r="AO14" i="9"/>
  <c r="T14" i="9"/>
  <c r="AU14" i="9"/>
  <c r="R14" i="9"/>
  <c r="AA14" i="9"/>
  <c r="V14" i="9"/>
  <c r="AS14" i="9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L41" i="7"/>
  <c r="AK41" i="7"/>
  <c r="AM41" i="7"/>
  <c r="AN41" i="7"/>
  <c r="AO41" i="7"/>
  <c r="O67" i="7"/>
  <c r="O71" i="7" s="1"/>
  <c r="O79" i="7" s="1"/>
  <c r="N32" i="9"/>
  <c r="N33" i="9" s="1"/>
  <c r="N40" i="9" s="1"/>
  <c r="Y67" i="7" l="1"/>
  <c r="Y71" i="7" s="1"/>
  <c r="Y79" i="7" s="1"/>
  <c r="X32" i="9"/>
  <c r="X33" i="9" s="1"/>
  <c r="X40" i="9" s="1"/>
  <c r="N55" i="9"/>
  <c r="N41" i="9"/>
  <c r="N45" i="9" s="1"/>
  <c r="N49" i="9" s="1"/>
  <c r="N54" i="9" s="1"/>
  <c r="AI67" i="7"/>
  <c r="AI71" i="7" s="1"/>
  <c r="AI79" i="7" s="1"/>
  <c r="AH32" i="9"/>
  <c r="AH33" i="9" s="1"/>
  <c r="AH40" i="9" s="1"/>
  <c r="AA67" i="7"/>
  <c r="AA71" i="7" s="1"/>
  <c r="AA79" i="7" s="1"/>
  <c r="Z32" i="9"/>
  <c r="Z33" i="9" s="1"/>
  <c r="Z40" i="9" s="1"/>
  <c r="S67" i="7"/>
  <c r="S71" i="7" s="1"/>
  <c r="S79" i="7" s="1"/>
  <c r="R32" i="9"/>
  <c r="R33" i="9" s="1"/>
  <c r="R40" i="9" s="1"/>
  <c r="AH67" i="7"/>
  <c r="AH71" i="7" s="1"/>
  <c r="AH79" i="7" s="1"/>
  <c r="AG32" i="9"/>
  <c r="AG33" i="9" s="1"/>
  <c r="AG40" i="9" s="1"/>
  <c r="Z67" i="7"/>
  <c r="Z71" i="7" s="1"/>
  <c r="Z79" i="7" s="1"/>
  <c r="Y32" i="9"/>
  <c r="Y33" i="9" s="1"/>
  <c r="Y40" i="9" s="1"/>
  <c r="Q67" i="7"/>
  <c r="Q71" i="7" s="1"/>
  <c r="Q79" i="7" s="1"/>
  <c r="P32" i="9"/>
  <c r="P33" i="9" s="1"/>
  <c r="P40" i="9" s="1"/>
  <c r="AF67" i="7"/>
  <c r="AF71" i="7" s="1"/>
  <c r="AF79" i="7" s="1"/>
  <c r="AE32" i="9"/>
  <c r="AE33" i="9" s="1"/>
  <c r="AE40" i="9" s="1"/>
  <c r="X67" i="7"/>
  <c r="X71" i="7" s="1"/>
  <c r="X79" i="7" s="1"/>
  <c r="W32" i="9"/>
  <c r="W33" i="9" s="1"/>
  <c r="W40" i="9" s="1"/>
  <c r="P67" i="7"/>
  <c r="P71" i="7" s="1"/>
  <c r="P79" i="7" s="1"/>
  <c r="O32" i="9"/>
  <c r="O33" i="9" s="1"/>
  <c r="O40" i="9" s="1"/>
  <c r="R67" i="7"/>
  <c r="R71" i="7" s="1"/>
  <c r="R79" i="7" s="1"/>
  <c r="Q32" i="9"/>
  <c r="Q33" i="9" s="1"/>
  <c r="Q40" i="9" s="1"/>
  <c r="AG67" i="7"/>
  <c r="AG71" i="7" s="1"/>
  <c r="AG79" i="7" s="1"/>
  <c r="AF32" i="9"/>
  <c r="AF33" i="9" s="1"/>
  <c r="AF40" i="9" s="1"/>
  <c r="AN67" i="7"/>
  <c r="AN71" i="7" s="1"/>
  <c r="AN79" i="7" s="1"/>
  <c r="AM32" i="9"/>
  <c r="AM33" i="9" s="1"/>
  <c r="AM40" i="9" s="1"/>
  <c r="AM67" i="7"/>
  <c r="AM71" i="7" s="1"/>
  <c r="AM79" i="7" s="1"/>
  <c r="AL32" i="9"/>
  <c r="AL33" i="9" s="1"/>
  <c r="AL40" i="9" s="1"/>
  <c r="W67" i="7"/>
  <c r="W71" i="7" s="1"/>
  <c r="W79" i="7" s="1"/>
  <c r="V32" i="9"/>
  <c r="V33" i="9" s="1"/>
  <c r="V40" i="9" s="1"/>
  <c r="AO67" i="7"/>
  <c r="AO71" i="7" s="1"/>
  <c r="AO79" i="7" s="1"/>
  <c r="AN32" i="9"/>
  <c r="AN33" i="9" s="1"/>
  <c r="AN40" i="9" s="1"/>
  <c r="AE67" i="7"/>
  <c r="AE71" i="7" s="1"/>
  <c r="AE79" i="7" s="1"/>
  <c r="AD32" i="9"/>
  <c r="AD33" i="9" s="1"/>
  <c r="AD40" i="9" s="1"/>
  <c r="V67" i="7"/>
  <c r="V71" i="7" s="1"/>
  <c r="V79" i="7" s="1"/>
  <c r="U32" i="9"/>
  <c r="U33" i="9" s="1"/>
  <c r="U40" i="9" s="1"/>
  <c r="AD67" i="7"/>
  <c r="AD71" i="7" s="1"/>
  <c r="AD79" i="7" s="1"/>
  <c r="AC32" i="9"/>
  <c r="AC33" i="9" s="1"/>
  <c r="AC40" i="9" s="1"/>
  <c r="AL67" i="7"/>
  <c r="AL71" i="7" s="1"/>
  <c r="AL79" i="7" s="1"/>
  <c r="AK32" i="9"/>
  <c r="AK33" i="9" s="1"/>
  <c r="AK40" i="9" s="1"/>
  <c r="AC67" i="7"/>
  <c r="AC71" i="7" s="1"/>
  <c r="AC79" i="7" s="1"/>
  <c r="AB32" i="9"/>
  <c r="AB33" i="9" s="1"/>
  <c r="AB40" i="9" s="1"/>
  <c r="U67" i="7"/>
  <c r="U71" i="7" s="1"/>
  <c r="U79" i="7" s="1"/>
  <c r="T32" i="9"/>
  <c r="T33" i="9" s="1"/>
  <c r="T40" i="9" s="1"/>
  <c r="AK67" i="7"/>
  <c r="AK71" i="7" s="1"/>
  <c r="AK79" i="7" s="1"/>
  <c r="AJ32" i="9"/>
  <c r="AJ33" i="9" s="1"/>
  <c r="AJ40" i="9" s="1"/>
  <c r="AJ67" i="7"/>
  <c r="AJ71" i="7" s="1"/>
  <c r="AJ79" i="7" s="1"/>
  <c r="AI32" i="9"/>
  <c r="AI33" i="9" s="1"/>
  <c r="AI40" i="9" s="1"/>
  <c r="AB67" i="7"/>
  <c r="AB71" i="7" s="1"/>
  <c r="AB79" i="7" s="1"/>
  <c r="AA32" i="9"/>
  <c r="AA33" i="9" s="1"/>
  <c r="AA40" i="9" s="1"/>
  <c r="T67" i="7"/>
  <c r="T71" i="7" s="1"/>
  <c r="T79" i="7" s="1"/>
  <c r="S32" i="9"/>
  <c r="S33" i="9" s="1"/>
  <c r="S40" i="9" s="1"/>
  <c r="L81" i="7" l="1"/>
  <c r="N13" i="3" s="1"/>
  <c r="N15" i="3" s="1"/>
  <c r="T55" i="9"/>
  <c r="T41" i="9"/>
  <c r="T45" i="9" s="1"/>
  <c r="T49" i="9" s="1"/>
  <c r="T54" i="9" s="1"/>
  <c r="U55" i="9"/>
  <c r="U41" i="9"/>
  <c r="U45" i="9" s="1"/>
  <c r="U49" i="9" s="1"/>
  <c r="U54" i="9" s="1"/>
  <c r="AH55" i="9"/>
  <c r="AH41" i="9"/>
  <c r="AH45" i="9" s="1"/>
  <c r="AH49" i="9" s="1"/>
  <c r="AH54" i="9" s="1"/>
  <c r="Y55" i="9"/>
  <c r="Y41" i="9"/>
  <c r="Y45" i="9" s="1"/>
  <c r="Y49" i="9" s="1"/>
  <c r="Y54" i="9" s="1"/>
  <c r="O55" i="9"/>
  <c r="O41" i="9"/>
  <c r="O45" i="9" s="1"/>
  <c r="O49" i="9" s="1"/>
  <c r="O54" i="9" s="1"/>
  <c r="AA55" i="9"/>
  <c r="AA41" i="9"/>
  <c r="AA45" i="9" s="1"/>
  <c r="AA49" i="9" s="1"/>
  <c r="AA54" i="9" s="1"/>
  <c r="AB55" i="9"/>
  <c r="AB41" i="9"/>
  <c r="AB45" i="9" s="1"/>
  <c r="AB49" i="9" s="1"/>
  <c r="AB54" i="9" s="1"/>
  <c r="AM55" i="9"/>
  <c r="AM41" i="9"/>
  <c r="AM45" i="9" s="1"/>
  <c r="AM49" i="9" s="1"/>
  <c r="AM54" i="9" s="1"/>
  <c r="AG55" i="9"/>
  <c r="AG41" i="9"/>
  <c r="AG45" i="9" s="1"/>
  <c r="AG49" i="9" s="1"/>
  <c r="AG54" i="9" s="1"/>
  <c r="S55" i="9"/>
  <c r="S41" i="9"/>
  <c r="S45" i="9" s="1"/>
  <c r="S49" i="9" s="1"/>
  <c r="S54" i="9" s="1"/>
  <c r="AL55" i="9"/>
  <c r="AL41" i="9"/>
  <c r="AL45" i="9" s="1"/>
  <c r="AL49" i="9" s="1"/>
  <c r="AL54" i="9" s="1"/>
  <c r="AD55" i="9"/>
  <c r="AD41" i="9"/>
  <c r="AD45" i="9" s="1"/>
  <c r="AD49" i="9" s="1"/>
  <c r="AD54" i="9" s="1"/>
  <c r="AI55" i="9"/>
  <c r="AI41" i="9"/>
  <c r="AI45" i="9" s="1"/>
  <c r="AI49" i="9" s="1"/>
  <c r="AI54" i="9" s="1"/>
  <c r="AK55" i="9"/>
  <c r="AK41" i="9"/>
  <c r="AK45" i="9" s="1"/>
  <c r="AK49" i="9" s="1"/>
  <c r="AK54" i="9" s="1"/>
  <c r="AN55" i="9"/>
  <c r="AN41" i="9"/>
  <c r="AN45" i="9" s="1"/>
  <c r="AN49" i="9" s="1"/>
  <c r="AN54" i="9" s="1"/>
  <c r="AF55" i="9"/>
  <c r="AF41" i="9"/>
  <c r="AF45" i="9" s="1"/>
  <c r="AF49" i="9" s="1"/>
  <c r="AF54" i="9" s="1"/>
  <c r="AE55" i="9"/>
  <c r="AE41" i="9"/>
  <c r="AE45" i="9" s="1"/>
  <c r="AE49" i="9" s="1"/>
  <c r="AE54" i="9" s="1"/>
  <c r="R55" i="9"/>
  <c r="R41" i="9"/>
  <c r="R45" i="9" s="1"/>
  <c r="R49" i="9" s="1"/>
  <c r="R54" i="9" s="1"/>
  <c r="X55" i="9"/>
  <c r="X41" i="9"/>
  <c r="X45" i="9" s="1"/>
  <c r="X49" i="9" s="1"/>
  <c r="X54" i="9" s="1"/>
  <c r="W55" i="9"/>
  <c r="W41" i="9"/>
  <c r="W45" i="9" s="1"/>
  <c r="W49" i="9" s="1"/>
  <c r="W54" i="9" s="1"/>
  <c r="AJ55" i="9"/>
  <c r="AJ41" i="9"/>
  <c r="AJ45" i="9" s="1"/>
  <c r="AJ49" i="9" s="1"/>
  <c r="AJ54" i="9" s="1"/>
  <c r="AC55" i="9"/>
  <c r="AC41" i="9"/>
  <c r="AC45" i="9" s="1"/>
  <c r="AC49" i="9" s="1"/>
  <c r="AC54" i="9" s="1"/>
  <c r="V55" i="9"/>
  <c r="V41" i="9"/>
  <c r="V45" i="9" s="1"/>
  <c r="V49" i="9" s="1"/>
  <c r="V54" i="9" s="1"/>
  <c r="Q55" i="9"/>
  <c r="Q41" i="9"/>
  <c r="Q45" i="9" s="1"/>
  <c r="Q49" i="9" s="1"/>
  <c r="Q54" i="9" s="1"/>
  <c r="P55" i="9"/>
  <c r="P41" i="9"/>
  <c r="P45" i="9" s="1"/>
  <c r="P49" i="9" s="1"/>
  <c r="P54" i="9" s="1"/>
  <c r="Z55" i="9"/>
  <c r="Z41" i="9"/>
  <c r="Z45" i="9" s="1"/>
  <c r="Z49" i="9" s="1"/>
  <c r="Z54" i="9" s="1"/>
  <c r="N21" i="3" l="1"/>
  <c r="N20" i="3"/>
  <c r="N22" i="3" l="1"/>
  <c r="N30" i="3" s="1"/>
  <c r="N35" i="3" s="1"/>
  <c r="N36" i="3" s="1"/>
  <c r="U31" i="3" l="1"/>
  <c r="U42" i="3"/>
  <c r="U21" i="3"/>
  <c r="V32" i="2"/>
  <c r="U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<sst xmlns="http://schemas.openxmlformats.org/spreadsheetml/2006/main" count="787" uniqueCount="342">
  <si>
    <t>NAV Model</t>
  </si>
  <si>
    <t>Net Asset Value Model - Range Resources Corp. (NYSE:RRC)</t>
  </si>
  <si>
    <t>Theo Pham</t>
  </si>
  <si>
    <t>Laszlo MacCallum-von Hahn</t>
  </si>
  <si>
    <t xml:space="preserve">Public and Non-Confidential </t>
  </si>
  <si>
    <t>Last Updated</t>
  </si>
  <si>
    <t>Company Inputs</t>
  </si>
  <si>
    <t>Company Name</t>
  </si>
  <si>
    <t>Range Resources Corperation</t>
  </si>
  <si>
    <t>Ticker</t>
  </si>
  <si>
    <t>NYSE: RRC</t>
  </si>
  <si>
    <t>Pricing Date</t>
  </si>
  <si>
    <t>Currency</t>
  </si>
  <si>
    <t>USD</t>
  </si>
  <si>
    <t>Legend</t>
  </si>
  <si>
    <t>Black = Text / Intraworksheet Formulas</t>
  </si>
  <si>
    <t>Blue = Inputs</t>
  </si>
  <si>
    <t>Green = Links Between Worksheets</t>
  </si>
  <si>
    <t>Inputs &amp; Assumptions</t>
  </si>
  <si>
    <t>Currently Running Commodity Price case:</t>
  </si>
  <si>
    <t>1.</t>
  </si>
  <si>
    <t>a.</t>
  </si>
  <si>
    <t>Investment Timeline</t>
  </si>
  <si>
    <t>Valuation Date</t>
  </si>
  <si>
    <t>Units</t>
  </si>
  <si>
    <t>Name</t>
  </si>
  <si>
    <t>Ticker Symbol</t>
  </si>
  <si>
    <t>BBG</t>
  </si>
  <si>
    <t>RRC US</t>
  </si>
  <si>
    <t>Current Share price</t>
  </si>
  <si>
    <t>$</t>
  </si>
  <si>
    <t>FD Shares Outstanding</t>
  </si>
  <si>
    <t xml:space="preserve">mm </t>
  </si>
  <si>
    <t>Market Cap.</t>
  </si>
  <si>
    <t>mm $</t>
  </si>
  <si>
    <t>Historical Beta</t>
  </si>
  <si>
    <t>5y</t>
  </si>
  <si>
    <t>Credit Profile</t>
  </si>
  <si>
    <t>Pre-tax cost of debt (Kd)</t>
  </si>
  <si>
    <t>%</t>
  </si>
  <si>
    <t>Other</t>
  </si>
  <si>
    <t>Effective Tax Rate</t>
  </si>
  <si>
    <t>Bbl to Mcfe converstion</t>
  </si>
  <si>
    <t>Estimated realised NGL premium</t>
  </si>
  <si>
    <t>Commodity Price case</t>
  </si>
  <si>
    <t>Discount Rate (WACC)</t>
  </si>
  <si>
    <t>c.</t>
  </si>
  <si>
    <t>Market Data</t>
  </si>
  <si>
    <t>sources</t>
  </si>
  <si>
    <t>Required Returns</t>
  </si>
  <si>
    <t>units</t>
  </si>
  <si>
    <t>Risk-Free Rate of Return (Rf)</t>
  </si>
  <si>
    <t>fred: 2025.11.25</t>
  </si>
  <si>
    <t>x</t>
  </si>
  <si>
    <t>Equity Risk Premium (Rm-Rf)</t>
  </si>
  <si>
    <t>Aswath Damodaran, U.S. ERP (TTM) as of November 1 2025</t>
  </si>
  <si>
    <t>d.</t>
  </si>
  <si>
    <t>Production and Drilling assumptions</t>
  </si>
  <si>
    <t xml:space="preserve">Proportion of production </t>
  </si>
  <si>
    <t>Share of production</t>
  </si>
  <si>
    <t>Natural Gas</t>
  </si>
  <si>
    <t>Natural Gas Liguids (NGL)</t>
  </si>
  <si>
    <t>Oil</t>
  </si>
  <si>
    <t>Proved Developped Reserves</t>
  </si>
  <si>
    <t>Net PD Reserves</t>
  </si>
  <si>
    <t>Mmcfe</t>
  </si>
  <si>
    <t>PDP Daily production (Current)</t>
  </si>
  <si>
    <t>Mmcfe/d</t>
  </si>
  <si>
    <t>Proved production decline rate</t>
  </si>
  <si>
    <t>Estimated Reserve Life</t>
  </si>
  <si>
    <t>Production Expense Assumptions</t>
  </si>
  <si>
    <t>Production taxes</t>
  </si>
  <si>
    <t>$/Mcfe</t>
  </si>
  <si>
    <t>Lease OpEx</t>
  </si>
  <si>
    <t>Trabsportation</t>
  </si>
  <si>
    <t>Future Maintainance CapEx % D&amp;C CapEx</t>
  </si>
  <si>
    <t>Future Maintaincnce CapEx</t>
  </si>
  <si>
    <t>$MM</t>
  </si>
  <si>
    <t>Net PP&amp;E Balance to Depreciate/Deplete:</t>
  </si>
  <si>
    <t>Proved Undevelopped Reserves</t>
  </si>
  <si>
    <t>Total  Proven Undevelopped Reserves (net)</t>
  </si>
  <si>
    <t>Mmcffe</t>
  </si>
  <si>
    <t>Average EUR per well</t>
  </si>
  <si>
    <t>Potential net future locations</t>
  </si>
  <si>
    <t>#</t>
  </si>
  <si>
    <t>Net new wells drilled per year</t>
  </si>
  <si>
    <t>First year production % EUR</t>
  </si>
  <si>
    <t>Initial production</t>
  </si>
  <si>
    <t>Initial D&amp;C costs per well</t>
  </si>
  <si>
    <t>Future D&amp;C  CapEx</t>
  </si>
  <si>
    <t>NAV Assumptions</t>
  </si>
  <si>
    <t>G&amp;A expense % of Revenue</t>
  </si>
  <si>
    <t>Commodity Price Assumptions</t>
  </si>
  <si>
    <t>Energy Transfer Cost of Capital</t>
  </si>
  <si>
    <t>a. Key Assumptions</t>
  </si>
  <si>
    <t>WACC Inputs</t>
  </si>
  <si>
    <t>Equity:</t>
  </si>
  <si>
    <t>Debt:</t>
  </si>
  <si>
    <t>Pretax Cost of Debt (Kd)</t>
  </si>
  <si>
    <t>Market Capitalization</t>
  </si>
  <si>
    <t>mm dollars</t>
  </si>
  <si>
    <t>Net Debt</t>
  </si>
  <si>
    <t>th dollars</t>
  </si>
  <si>
    <t>Effective Tax rate</t>
  </si>
  <si>
    <t>Company</t>
  </si>
  <si>
    <t>b. Beta Calculation</t>
  </si>
  <si>
    <t>Comps Beta</t>
  </si>
  <si>
    <t>5 Year Beta</t>
  </si>
  <si>
    <t>Debt</t>
  </si>
  <si>
    <t>% Debt</t>
  </si>
  <si>
    <t>Equity Value</t>
  </si>
  <si>
    <t>% Equity</t>
  </si>
  <si>
    <t>Tax Rate</t>
  </si>
  <si>
    <t>Unlevered Beta</t>
  </si>
  <si>
    <t>APA CORP</t>
  </si>
  <si>
    <t>APA US</t>
  </si>
  <si>
    <t>COMSTOCK RESOURCES INC</t>
  </si>
  <si>
    <t>CRK US</t>
  </si>
  <si>
    <t>PERMIAN RESOURCES CORP</t>
  </si>
  <si>
    <t>PR US</t>
  </si>
  <si>
    <t>CNX RESOURCES CORP</t>
  </si>
  <si>
    <t>CNX US</t>
  </si>
  <si>
    <t>COTERRA ENERGY INC</t>
  </si>
  <si>
    <t>CTRA US</t>
  </si>
  <si>
    <t>DEVON ENERGY CORP</t>
  </si>
  <si>
    <t>DVN US</t>
  </si>
  <si>
    <t>EXPAND ENERGY CORP</t>
  </si>
  <si>
    <t>EXE US</t>
  </si>
  <si>
    <t>EQT CORP</t>
  </si>
  <si>
    <t>EQT US</t>
  </si>
  <si>
    <t>DIAMONDBACK ENERGY INC</t>
  </si>
  <si>
    <t>FANG US</t>
  </si>
  <si>
    <t>CONOCOPHILLIPS</t>
  </si>
  <si>
    <t>COP US</t>
  </si>
  <si>
    <t>Median:</t>
  </si>
  <si>
    <t>Range Unlevered Beta</t>
  </si>
  <si>
    <t>Range - Relevered Beta</t>
  </si>
  <si>
    <t>Calculated Using:</t>
  </si>
  <si>
    <t>Unlevered Beta (Comps)</t>
  </si>
  <si>
    <t>Levered Beta</t>
  </si>
  <si>
    <t>"Optimal" Capital Structure:</t>
  </si>
  <si>
    <t>c. Detailed WACC Calculation</t>
  </si>
  <si>
    <t>At Historical</t>
  </si>
  <si>
    <t>At Current Capital Structure</t>
  </si>
  <si>
    <t>At Optimal Capital Structure</t>
  </si>
  <si>
    <t>Equity</t>
  </si>
  <si>
    <t>Equity Risk</t>
  </si>
  <si>
    <t>Beta</t>
  </si>
  <si>
    <t>Adjusted Equity Risk Premium</t>
  </si>
  <si>
    <t>Add: Risk-free Rate of Return (Rf)</t>
  </si>
  <si>
    <t>Cost of Equity (Ke)</t>
  </si>
  <si>
    <t>Multiply by: E / (D+E)</t>
  </si>
  <si>
    <t>Cost of Equity Portion</t>
  </si>
  <si>
    <t>Cost of Debt (Kd)</t>
  </si>
  <si>
    <t>Assumed Tax Rate</t>
  </si>
  <si>
    <t>After-Tax Cost of Debt</t>
  </si>
  <si>
    <t>Multiply by: D / (D+E)</t>
  </si>
  <si>
    <t>Cost of Debt Portion</t>
  </si>
  <si>
    <t>WACC</t>
  </si>
  <si>
    <t>Average WACC Produced by All Methods:</t>
  </si>
  <si>
    <t>Price:D-1</t>
  </si>
  <si>
    <t>Mkt Cap (USD)</t>
  </si>
  <si>
    <t>Net Debt LF</t>
  </si>
  <si>
    <t>BEst EV</t>
  </si>
  <si>
    <t>EV/BE Sales Curr Yr</t>
  </si>
  <si>
    <t>EV/Next Yr Est Sales</t>
  </si>
  <si>
    <t>BEst Curr EV/BEst EBITDA:1FY</t>
  </si>
  <si>
    <t>BEst Curr EV/BEst EBITDA:1BF</t>
  </si>
  <si>
    <t>BEst P/E:1BF</t>
  </si>
  <si>
    <t>BEst P/E:1FY</t>
  </si>
  <si>
    <t>Net Debt to EBITDA LF</t>
  </si>
  <si>
    <t>BEst EBITDA:2024</t>
  </si>
  <si>
    <t>BEst EBITDA:1FY</t>
  </si>
  <si>
    <t>BEst EBITDA:1BF</t>
  </si>
  <si>
    <t>BEst NI:2024</t>
  </si>
  <si>
    <t>BEst NI:1FY</t>
  </si>
  <si>
    <t>BEst NI:1BF</t>
  </si>
  <si>
    <t>Beta:Y-5</t>
  </si>
  <si>
    <t>Leverage</t>
  </si>
  <si>
    <t>Median</t>
  </si>
  <si>
    <t>RANGE RESOURCES CORP</t>
  </si>
  <si>
    <t>Natural Gas Price Assumptions</t>
  </si>
  <si>
    <t>Natural Gas prices</t>
  </si>
  <si>
    <t>unit</t>
  </si>
  <si>
    <t>Street</t>
  </si>
  <si>
    <t>Bear</t>
  </si>
  <si>
    <t>Base</t>
  </si>
  <si>
    <t>Bull</t>
  </si>
  <si>
    <t>2.</t>
  </si>
  <si>
    <t>Oil Price Assumprions</t>
  </si>
  <si>
    <t>Oil Prices</t>
  </si>
  <si>
    <t>$/Bbl</t>
  </si>
  <si>
    <t>3.</t>
  </si>
  <si>
    <t>NGL Price assumptions</t>
  </si>
  <si>
    <t>Natural Gasoline Price forecast</t>
  </si>
  <si>
    <t>Nat. Gasoline Prices</t>
  </si>
  <si>
    <t xml:space="preserve">Weight: </t>
  </si>
  <si>
    <t>$/metric Tonne</t>
  </si>
  <si>
    <t>b.</t>
  </si>
  <si>
    <t>Propane Price forecast</t>
  </si>
  <si>
    <t>Propane Price Forecast</t>
  </si>
  <si>
    <t>$/Gal</t>
  </si>
  <si>
    <t>Ethane price Forecast</t>
  </si>
  <si>
    <t>Ethane Price Forecast</t>
  </si>
  <si>
    <t>Butane price Forecast</t>
  </si>
  <si>
    <t>Butane Price Forecast</t>
  </si>
  <si>
    <t>f.</t>
  </si>
  <si>
    <t>NGL basket Price Assumptions</t>
  </si>
  <si>
    <t>Basket Price Forecast</t>
  </si>
  <si>
    <t>PD Reserves</t>
  </si>
  <si>
    <t>Proved Developed Reserves - Production Schedule</t>
  </si>
  <si>
    <t>FY 2024</t>
  </si>
  <si>
    <t>FY 2025</t>
  </si>
  <si>
    <t>FY 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</si>
  <si>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</si>
  <si>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</si>
  <si>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</si>
  <si>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</si>
  <si>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</si>
  <si>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</si>
  <si>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</si>
  <si>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</si>
  <si>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</si>
  <si>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</si>
  <si>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</si>
  <si>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</si>
  <si>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</si>
  <si>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FY 2040</t>
  </si>
  <si>
    <t>FY 2041</t>
  </si>
  <si>
    <t>FY 2042</t>
  </si>
  <si>
    <t>FY 2043</t>
  </si>
  <si>
    <t>FY 2044</t>
  </si>
  <si>
    <t>FY 2045</t>
  </si>
  <si>
    <t>FY 2046</t>
  </si>
  <si>
    <t>FY 2047</t>
  </si>
  <si>
    <t>FY 2048</t>
  </si>
  <si>
    <t>FY 2049</t>
  </si>
  <si>
    <t>FY 2050</t>
  </si>
  <si>
    <t>FY 2051</t>
  </si>
  <si>
    <t>FY 2052</t>
  </si>
  <si>
    <t>FY 2053</t>
  </si>
  <si>
    <t>FY 2054</t>
  </si>
  <si>
    <t>Days</t>
  </si>
  <si>
    <t>-</t>
  </si>
  <si>
    <t>Begninning reserves</t>
  </si>
  <si>
    <t>Daily Production</t>
  </si>
  <si>
    <t>Annual Production</t>
  </si>
  <si>
    <t>Ending Reserves</t>
  </si>
  <si>
    <t>Proved Developed Reserves - Cash Flows</t>
  </si>
  <si>
    <t>Net Production</t>
  </si>
  <si>
    <t>Total Mmcfe</t>
  </si>
  <si>
    <t xml:space="preserve"> Gas Mmcf</t>
  </si>
  <si>
    <t xml:space="preserve"> NGL MBbl</t>
  </si>
  <si>
    <t xml:space="preserve"> Oil MBbl</t>
  </si>
  <si>
    <t>Revenue</t>
  </si>
  <si>
    <t>Natural Gas Revenue</t>
  </si>
  <si>
    <t>$ MM</t>
  </si>
  <si>
    <t>NGL Revenue</t>
  </si>
  <si>
    <t>Oil Revenue</t>
  </si>
  <si>
    <t>Expenses</t>
  </si>
  <si>
    <t>Production Taxes</t>
  </si>
  <si>
    <t>Per Unit Price</t>
  </si>
  <si>
    <t xml:space="preserve">Total </t>
  </si>
  <si>
    <t>Lease Operating Expense (LOE)</t>
  </si>
  <si>
    <t xml:space="preserve">  </t>
  </si>
  <si>
    <t>Transport Expense</t>
  </si>
  <si>
    <t xml:space="preserve"> </t>
  </si>
  <si>
    <t>4.</t>
  </si>
  <si>
    <t>Cash Flows</t>
  </si>
  <si>
    <t>Cash Flow from Operations</t>
  </si>
  <si>
    <t>CapEx</t>
  </si>
  <si>
    <t>FCF</t>
  </si>
  <si>
    <t>5.</t>
  </si>
  <si>
    <t>Discounted Cash Flow</t>
  </si>
  <si>
    <t>Year</t>
  </si>
  <si>
    <t>Discount Factor</t>
  </si>
  <si>
    <t>DCF</t>
  </si>
  <si>
    <t>PV</t>
  </si>
  <si>
    <t>PUD Reserves</t>
  </si>
  <si>
    <t>Proved Undeveloped Reserves - Production Schedule</t>
  </si>
  <si>
    <t>FY 2055</t>
  </si>
  <si>
    <t>FY 2056</t>
  </si>
  <si>
    <t>FY 2057</t>
  </si>
  <si>
    <t>FY 2058</t>
  </si>
  <si>
    <t>FY 2059</t>
  </si>
  <si>
    <t>FY 2060</t>
  </si>
  <si>
    <t>FY 2061</t>
  </si>
  <si>
    <t>FY 2062</t>
  </si>
  <si>
    <t>FY 2063</t>
  </si>
  <si>
    <t>FY 2064</t>
  </si>
  <si>
    <t>Period</t>
  </si>
  <si>
    <t>Total</t>
  </si>
  <si>
    <t>Gas MMcf</t>
  </si>
  <si>
    <t>NGL MBbl</t>
  </si>
  <si>
    <t>Oil MBbl</t>
  </si>
  <si>
    <t>Total MMcfe</t>
  </si>
  <si>
    <t>Decline Rate</t>
  </si>
  <si>
    <t>Annual PUD Depletion</t>
  </si>
  <si>
    <t>Net Wells Drilled</t>
  </si>
  <si>
    <t xml:space="preserve">Total D&amp;C costs </t>
  </si>
  <si>
    <t>PUD MMcfe  per year</t>
  </si>
  <si>
    <t>NAV Calculation</t>
  </si>
  <si>
    <t>Pre-tax Asset Value</t>
  </si>
  <si>
    <t>Proved Developed Reserves</t>
  </si>
  <si>
    <t>Proved Undeveloped Assets</t>
  </si>
  <si>
    <t>After-Tax Asset Value</t>
  </si>
  <si>
    <t>PV of G&amp;A</t>
  </si>
  <si>
    <t>PV of Tax Expenses</t>
  </si>
  <si>
    <t>After tax  Asset Value</t>
  </si>
  <si>
    <t>Total Asset Value</t>
  </si>
  <si>
    <t>Cash &amp; Investments</t>
  </si>
  <si>
    <t>Net operating Losses</t>
  </si>
  <si>
    <t>Asset Retirement Obligations</t>
  </si>
  <si>
    <t>Net Asset Value</t>
  </si>
  <si>
    <t>Diluted Shares Outstanding</t>
  </si>
  <si>
    <t>Implied Upside</t>
  </si>
  <si>
    <t>$ / Mcf</t>
  </si>
  <si>
    <t>NGL</t>
  </si>
  <si>
    <t>$ / Bbl</t>
  </si>
  <si>
    <t>Production</t>
  </si>
  <si>
    <t>Mmcf</t>
  </si>
  <si>
    <t>MBbl</t>
  </si>
  <si>
    <t>Annual Pruduction</t>
  </si>
  <si>
    <t>Mmcfe / d</t>
  </si>
  <si>
    <t>PD Annual Production:</t>
  </si>
  <si>
    <t>PUD Annual Production:</t>
  </si>
  <si>
    <t>LOE</t>
  </si>
  <si>
    <t>Transportation</t>
  </si>
  <si>
    <t>G&amp;A</t>
  </si>
  <si>
    <t>TOTAL Expenses</t>
  </si>
  <si>
    <t>Taxable Income</t>
  </si>
  <si>
    <t>EBITDA</t>
  </si>
  <si>
    <t>PD Reserves - DD&amp;A</t>
  </si>
  <si>
    <t>Maintainance CapEx</t>
  </si>
  <si>
    <t>PUD reserves  - DD&amp;A</t>
  </si>
  <si>
    <t>Discount factor</t>
  </si>
  <si>
    <t>Income Tax Expense</t>
  </si>
  <si>
    <t>Bear / Base / Bull</t>
  </si>
  <si>
    <t>EUR</t>
  </si>
  <si>
    <t>long term Natural Gas price</t>
  </si>
  <si>
    <t>Natural Gas Liquids Price</t>
  </si>
  <si>
    <t>MM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</si>
</sst>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FY&quot;\ 0"/>
    <numFmt numFmtId="166" formatCode="_(#,##0.00_)_%;\(#,##0.00\)_%;_(&quot;–&quot;_)_%;_(@_)_%"/>
    <numFmt numFmtId="167" formatCode="_(&quot;$&quot;* #,##0.0_);_(&quot;$&quot;* \(#,##0.0\);_(&quot;$&quot;* &quot;-&quot;?_);_(@_)"/>
    <numFmt numFmtId="168" formatCode="_(0.0%_);\(0.0%\);_(&quot;–&quot;_)_%;_(@_)_%"/>
    <numFmt numFmtId="169" formatCode="_(#,##0.00_);\(#,##0.00\);_(&quot;–&quot;_);_(@_)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_(* #,##0.0_);_(* \(#,##0.0\);_(* &quot;-&quot;?_);_(@_)"/>
    <numFmt numFmtId="173" formatCode="0.000"/>
    <numFmt numFmtId="174" formatCode="#,##0.0"/>
    <numFmt numFmtId="175" formatCode="_(&quot;$&quot;* #,##0_);_(&quot;$&quot;* \(#,##0\);_(&quot;$&quot;* &quot;-&quot;??_);_(@_)"/>
    <numFmt numFmtId="176" formatCode="&quot;$&quot;#,##0.00"/>
    <numFmt numFmtId="177" formatCode="0.0"/>
  </numFmts>
  <fonts count="6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2060"/>
      <name val="Arial"/>
      <family val="2"/>
    </font>
    <font>
      <b/>
      <sz val="18"/>
      <color rgb="FF002060"/>
      <name val="Arial"/>
      <family val="2"/>
    </font>
    <font>
      <sz val="8"/>
      <color rgb="FF002060"/>
      <name val="Arial"/>
      <family val="2"/>
    </font>
    <font>
      <sz val="8"/>
      <color rgb="FFFFFFF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sz val="8"/>
      <name val="Arial"/>
      <family val="2"/>
    </font>
    <font>
      <b/>
      <sz val="8"/>
      <color rgb="FFFFFFFF"/>
      <name val="Arial"/>
      <family val="2"/>
    </font>
    <font>
      <b/>
      <u/>
      <sz val="8"/>
      <color theme="1"/>
      <name val="Arial"/>
      <family val="2"/>
    </font>
    <font>
      <b/>
      <sz val="8"/>
      <color rgb="FF0000FF"/>
      <name val="Arial"/>
      <family val="2"/>
    </font>
    <font>
      <b/>
      <sz val="8"/>
      <color rgb="FF008000"/>
      <name val="Arial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rgb="FF0000FF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FF"/>
      <name val="Aptos Narrow"/>
    </font>
    <font>
      <i/>
      <sz val="11"/>
      <color theme="1"/>
      <name val="Aptos Narrow"/>
      <family val="2"/>
      <scheme val="minor"/>
    </font>
    <font>
      <sz val="11"/>
      <color rgb="FF0000E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B05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sz val="10"/>
      <color rgb="FF002750"/>
      <name val="Arial"/>
      <family val="2"/>
    </font>
    <font>
      <i/>
      <sz val="11"/>
      <color rgb="FFA6A6A6"/>
      <name val="Calibri"/>
      <family val="2"/>
    </font>
    <font>
      <b/>
      <u/>
      <sz val="11"/>
      <color rgb="FF0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0"/>
      <color rgb="FF002750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  <font>
      <b/>
      <sz val="10"/>
      <color indexed="9"/>
      <name val="Arial"/>
      <family val="2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00FF"/>
      <name val="-Apple-System"/>
      <charset val="1"/>
    </font>
    <font>
      <sz val="11"/>
      <color rgb="FF000000"/>
      <name val="Aptos Narrow"/>
    </font>
    <font>
      <i/>
      <sz val="11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i/>
      <sz val="12"/>
      <color theme="2" tint="-0.74999237037263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2" tint="-0.499984740745262"/>
      <name val="Aptos Narrow"/>
      <scheme val="minor"/>
    </font>
    <font>
      <b/>
      <sz val="11"/>
      <color theme="1"/>
      <name val="Aptos Narrow"/>
      <scheme val="minor"/>
    </font>
    <font>
      <sz val="11"/>
      <color rgb="FFAC140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497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750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FD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140F"/>
        <bgColor indexed="64"/>
      </patternFill>
    </fill>
    <fill>
      <patternFill patternType="solid">
        <fgColor rgb="FFFBB5B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2">
    <xf numFmtId="0" fontId="0" fillId="0" borderId="0"/>
    <xf numFmtId="0" fontId="1" fillId="0" borderId="0"/>
    <xf numFmtId="0" fontId="8" fillId="0" borderId="0"/>
    <xf numFmtId="0" fontId="17" fillId="0" borderId="0"/>
    <xf numFmtId="0" fontId="24" fillId="0" borderId="0"/>
    <xf numFmtId="0" fontId="24" fillId="0" borderId="0"/>
    <xf numFmtId="9" fontId="17" fillId="0" borderId="0" applyFont="0" applyFill="0" applyBorder="0" applyAlignment="0" applyProtection="0"/>
    <xf numFmtId="0" fontId="26" fillId="7" borderId="0"/>
    <xf numFmtId="0" fontId="17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17" fillId="0" borderId="0"/>
  </cellStyleXfs>
  <cellXfs count="293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4" fillId="2" borderId="0" xfId="1" applyFont="1" applyFill="1"/>
    <xf numFmtId="0" fontId="7" fillId="0" borderId="0" xfId="1" applyFont="1"/>
    <xf numFmtId="0" fontId="9" fillId="0" borderId="0" xfId="2" applyFont="1"/>
    <xf numFmtId="0" fontId="9" fillId="0" borderId="1" xfId="1" applyFont="1" applyBorder="1"/>
    <xf numFmtId="0" fontId="9" fillId="0" borderId="2" xfId="2" applyFont="1" applyBorder="1"/>
    <xf numFmtId="14" fontId="10" fillId="0" borderId="3" xfId="2" applyNumberFormat="1" applyFont="1" applyBorder="1"/>
    <xf numFmtId="0" fontId="7" fillId="0" borderId="4" xfId="2" applyFont="1" applyBorder="1"/>
    <xf numFmtId="0" fontId="9" fillId="0" borderId="5" xfId="2" applyFont="1" applyBorder="1"/>
    <xf numFmtId="0" fontId="10" fillId="0" borderId="6" xfId="2" applyFont="1" applyBorder="1" applyAlignment="1">
      <alignment horizontal="right"/>
    </xf>
    <xf numFmtId="0" fontId="7" fillId="0" borderId="7" xfId="2" applyFont="1" applyBorder="1"/>
    <xf numFmtId="0" fontId="10" fillId="0" borderId="8" xfId="2" applyFont="1" applyBorder="1" applyAlignment="1">
      <alignment horizontal="right"/>
    </xf>
    <xf numFmtId="14" fontId="11" fillId="0" borderId="8" xfId="2" applyNumberFormat="1" applyFont="1" applyBorder="1" applyAlignment="1">
      <alignment horizontal="right"/>
    </xf>
    <xf numFmtId="0" fontId="7" fillId="0" borderId="9" xfId="2" applyFont="1" applyBorder="1"/>
    <xf numFmtId="0" fontId="9" fillId="0" borderId="10" xfId="2" applyFont="1" applyBorder="1"/>
    <xf numFmtId="0" fontId="10" fillId="0" borderId="11" xfId="2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0" fontId="15" fillId="0" borderId="0" xfId="1" applyFont="1"/>
    <xf numFmtId="0" fontId="0" fillId="3" borderId="0" xfId="0" applyFill="1"/>
    <xf numFmtId="0" fontId="9" fillId="3" borderId="0" xfId="2" applyFont="1" applyFill="1"/>
    <xf numFmtId="0" fontId="6" fillId="3" borderId="0" xfId="1" applyFont="1" applyFill="1"/>
    <xf numFmtId="0" fontId="11" fillId="3" borderId="0" xfId="1" applyFont="1" applyFill="1"/>
    <xf numFmtId="0" fontId="5" fillId="3" borderId="0" xfId="1" applyFont="1" applyFill="1"/>
    <xf numFmtId="0" fontId="7" fillId="3" borderId="0" xfId="1" applyFont="1" applyFill="1"/>
    <xf numFmtId="0" fontId="0" fillId="3" borderId="16" xfId="0" applyFill="1" applyBorder="1"/>
    <xf numFmtId="0" fontId="17" fillId="4" borderId="0" xfId="3" applyFill="1"/>
    <xf numFmtId="0" fontId="0" fillId="4" borderId="0" xfId="0" applyFill="1"/>
    <xf numFmtId="0" fontId="18" fillId="4" borderId="12" xfId="3" applyFont="1" applyFill="1" applyBorder="1"/>
    <xf numFmtId="0" fontId="17" fillId="4" borderId="12" xfId="3" applyFill="1" applyBorder="1"/>
    <xf numFmtId="0" fontId="19" fillId="4" borderId="0" xfId="3" applyFont="1" applyFill="1"/>
    <xf numFmtId="0" fontId="12" fillId="4" borderId="0" xfId="1" applyFont="1" applyFill="1" applyAlignment="1">
      <alignment horizontal="centerContinuous"/>
    </xf>
    <xf numFmtId="0" fontId="12" fillId="4" borderId="0" xfId="2" applyFont="1" applyFill="1" applyAlignment="1">
      <alignment horizontal="centerContinuous"/>
    </xf>
    <xf numFmtId="0" fontId="0" fillId="5" borderId="0" xfId="0" applyFill="1"/>
    <xf numFmtId="49" fontId="20" fillId="5" borderId="0" xfId="0" applyNumberFormat="1" applyFont="1" applyFill="1"/>
    <xf numFmtId="0" fontId="0" fillId="6" borderId="0" xfId="0" applyFill="1"/>
    <xf numFmtId="0" fontId="21" fillId="3" borderId="0" xfId="0" applyFont="1" applyFill="1"/>
    <xf numFmtId="0" fontId="17" fillId="0" borderId="0" xfId="3"/>
    <xf numFmtId="0" fontId="17" fillId="6" borderId="0" xfId="3" quotePrefix="1" applyFill="1"/>
    <xf numFmtId="0" fontId="17" fillId="6" borderId="0" xfId="3" applyFill="1"/>
    <xf numFmtId="0" fontId="0" fillId="8" borderId="18" xfId="0" applyFill="1" applyBorder="1" applyAlignment="1">
      <alignment horizontal="center"/>
    </xf>
    <xf numFmtId="14" fontId="0" fillId="8" borderId="18" xfId="0" applyNumberFormat="1" applyFill="1" applyBorder="1" applyAlignment="1">
      <alignment horizontal="center"/>
    </xf>
    <xf numFmtId="2" fontId="27" fillId="8" borderId="21" xfId="3" applyNumberFormat="1" applyFont="1" applyFill="1" applyBorder="1" applyAlignment="1">
      <alignment horizontal="center"/>
    </xf>
    <xf numFmtId="0" fontId="28" fillId="3" borderId="0" xfId="0" applyFont="1" applyFill="1" applyAlignment="1">
      <alignment horizontal="right"/>
    </xf>
    <xf numFmtId="2" fontId="27" fillId="8" borderId="18" xfId="3" applyNumberFormat="1" applyFont="1" applyFill="1" applyBorder="1" applyAlignment="1">
      <alignment horizontal="center"/>
    </xf>
    <xf numFmtId="10" fontId="27" fillId="8" borderId="18" xfId="3" applyNumberFormat="1" applyFont="1" applyFill="1" applyBorder="1" applyAlignment="1">
      <alignment horizontal="center"/>
    </xf>
    <xf numFmtId="0" fontId="30" fillId="8" borderId="20" xfId="0" applyFont="1" applyFill="1" applyBorder="1"/>
    <xf numFmtId="0" fontId="31" fillId="6" borderId="0" xfId="3" applyFont="1" applyFill="1"/>
    <xf numFmtId="10" fontId="32" fillId="8" borderId="19" xfId="6" applyNumberFormat="1" applyFont="1" applyFill="1" applyBorder="1" applyAlignment="1">
      <alignment horizontal="right" vertical="center"/>
    </xf>
    <xf numFmtId="0" fontId="17" fillId="3" borderId="0" xfId="3" applyFill="1"/>
    <xf numFmtId="0" fontId="22" fillId="3" borderId="0" xfId="0" applyFont="1" applyFill="1"/>
    <xf numFmtId="0" fontId="23" fillId="3" borderId="0" xfId="3" applyFont="1" applyFill="1" applyAlignment="1">
      <alignment horizontal="center"/>
    </xf>
    <xf numFmtId="0" fontId="25" fillId="3" borderId="0" xfId="4" applyFont="1" applyFill="1"/>
    <xf numFmtId="0" fontId="25" fillId="3" borderId="0" xfId="4" applyFont="1" applyFill="1" applyAlignment="1">
      <alignment vertical="center"/>
    </xf>
    <xf numFmtId="0" fontId="23" fillId="3" borderId="0" xfId="3" applyFont="1" applyFill="1" applyAlignment="1">
      <alignment horizontal="left"/>
    </xf>
    <xf numFmtId="164" fontId="25" fillId="3" borderId="0" xfId="6" applyNumberFormat="1" applyFont="1" applyFill="1" applyAlignment="1">
      <alignment vertical="center"/>
    </xf>
    <xf numFmtId="0" fontId="26" fillId="4" borderId="0" xfId="7" applyFill="1"/>
    <xf numFmtId="0" fontId="17" fillId="4" borderId="0" xfId="8" applyFill="1"/>
    <xf numFmtId="10" fontId="0" fillId="8" borderId="18" xfId="0" applyNumberFormat="1" applyFill="1" applyBorder="1" applyAlignment="1">
      <alignment horizontal="center"/>
    </xf>
    <xf numFmtId="0" fontId="17" fillId="3" borderId="0" xfId="8" applyFill="1"/>
    <xf numFmtId="2" fontId="17" fillId="3" borderId="0" xfId="8" applyNumberFormat="1" applyFill="1"/>
    <xf numFmtId="0" fontId="34" fillId="3" borderId="10" xfId="0" applyFont="1" applyFill="1" applyBorder="1"/>
    <xf numFmtId="0" fontId="0" fillId="3" borderId="10" xfId="0" applyFill="1" applyBorder="1"/>
    <xf numFmtId="0" fontId="35" fillId="3" borderId="19" xfId="0" applyFont="1" applyFill="1" applyBorder="1" applyAlignment="1">
      <alignment horizontal="center"/>
    </xf>
    <xf numFmtId="164" fontId="36" fillId="3" borderId="10" xfId="6" applyNumberFormat="1" applyFont="1" applyFill="1" applyBorder="1" applyAlignment="1"/>
    <xf numFmtId="0" fontId="34" fillId="3" borderId="0" xfId="0" applyFont="1" applyFill="1"/>
    <xf numFmtId="164" fontId="37" fillId="3" borderId="0" xfId="0" applyNumberFormat="1" applyFont="1" applyFill="1"/>
    <xf numFmtId="0" fontId="23" fillId="3" borderId="0" xfId="11" applyFont="1" applyFill="1" applyAlignment="1">
      <alignment horizontal="center"/>
    </xf>
    <xf numFmtId="164" fontId="38" fillId="3" borderId="0" xfId="0" applyNumberFormat="1" applyFont="1" applyFill="1"/>
    <xf numFmtId="10" fontId="37" fillId="3" borderId="0" xfId="0" applyNumberFormat="1" applyFont="1" applyFill="1"/>
    <xf numFmtId="0" fontId="39" fillId="3" borderId="4" xfId="0" applyFont="1" applyFill="1" applyBorder="1"/>
    <xf numFmtId="0" fontId="23" fillId="3" borderId="5" xfId="11" applyFont="1" applyFill="1" applyBorder="1" applyAlignment="1">
      <alignment horizontal="center"/>
    </xf>
    <xf numFmtId="0" fontId="35" fillId="3" borderId="5" xfId="0" applyFont="1" applyFill="1" applyBorder="1"/>
    <xf numFmtId="0" fontId="0" fillId="3" borderId="5" xfId="0" applyFill="1" applyBorder="1"/>
    <xf numFmtId="2" fontId="37" fillId="3" borderId="5" xfId="0" applyNumberFormat="1" applyFont="1" applyFill="1" applyBorder="1"/>
    <xf numFmtId="2" fontId="37" fillId="3" borderId="22" xfId="0" applyNumberFormat="1" applyFont="1" applyFill="1" applyBorder="1"/>
    <xf numFmtId="0" fontId="39" fillId="3" borderId="7" xfId="0" applyFont="1" applyFill="1" applyBorder="1"/>
    <xf numFmtId="0" fontId="35" fillId="3" borderId="0" xfId="0" applyFont="1" applyFill="1"/>
    <xf numFmtId="2" fontId="37" fillId="3" borderId="0" xfId="0" applyNumberFormat="1" applyFont="1" applyFill="1"/>
    <xf numFmtId="2" fontId="37" fillId="3" borderId="14" xfId="0" applyNumberFormat="1" applyFont="1" applyFill="1" applyBorder="1"/>
    <xf numFmtId="0" fontId="39" fillId="3" borderId="9" xfId="0" applyFont="1" applyFill="1" applyBorder="1"/>
    <xf numFmtId="0" fontId="23" fillId="3" borderId="10" xfId="11" applyFont="1" applyFill="1" applyBorder="1" applyAlignment="1">
      <alignment horizontal="center"/>
    </xf>
    <xf numFmtId="0" fontId="35" fillId="3" borderId="10" xfId="0" applyFont="1" applyFill="1" applyBorder="1"/>
    <xf numFmtId="2" fontId="37" fillId="3" borderId="10" xfId="0" applyNumberFormat="1" applyFont="1" applyFill="1" applyBorder="1"/>
    <xf numFmtId="2" fontId="37" fillId="3" borderId="23" xfId="0" applyNumberFormat="1" applyFont="1" applyFill="1" applyBorder="1"/>
    <xf numFmtId="0" fontId="0" fillId="3" borderId="0" xfId="3" applyFont="1" applyFill="1"/>
    <xf numFmtId="0" fontId="16" fillId="3" borderId="0" xfId="3" applyFont="1" applyFill="1"/>
    <xf numFmtId="0" fontId="41" fillId="3" borderId="0" xfId="0" applyFont="1" applyFill="1"/>
    <xf numFmtId="10" fontId="42" fillId="3" borderId="19" xfId="10" applyNumberFormat="1" applyFont="1" applyFill="1" applyBorder="1" applyAlignment="1">
      <alignment horizontal="center" vertical="center"/>
    </xf>
    <xf numFmtId="10" fontId="42" fillId="10" borderId="19" xfId="1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 indent="1"/>
    </xf>
    <xf numFmtId="1" fontId="42" fillId="10" borderId="19" xfId="10" applyNumberFormat="1" applyFont="1" applyFill="1" applyBorder="1" applyAlignment="1">
      <alignment horizontal="center" vertical="center"/>
    </xf>
    <xf numFmtId="0" fontId="0" fillId="3" borderId="0" xfId="4" applyFont="1" applyFill="1"/>
    <xf numFmtId="164" fontId="42" fillId="10" borderId="19" xfId="10" applyNumberFormat="1" applyFont="1" applyFill="1" applyBorder="1" applyAlignment="1">
      <alignment horizontal="center" vertical="center"/>
    </xf>
    <xf numFmtId="0" fontId="43" fillId="3" borderId="0" xfId="4" applyFont="1" applyFill="1"/>
    <xf numFmtId="2" fontId="42" fillId="10" borderId="19" xfId="10" applyNumberFormat="1" applyFont="1" applyFill="1" applyBorder="1" applyAlignment="1">
      <alignment horizontal="center" vertical="center"/>
    </xf>
    <xf numFmtId="0" fontId="29" fillId="3" borderId="0" xfId="3" applyFont="1" applyFill="1"/>
    <xf numFmtId="0" fontId="44" fillId="9" borderId="0" xfId="3" applyFont="1" applyFill="1" applyAlignment="1">
      <alignment horizontal="centerContinuous"/>
    </xf>
    <xf numFmtId="0" fontId="16" fillId="9" borderId="0" xfId="3" applyFont="1" applyFill="1" applyAlignment="1">
      <alignment horizontal="centerContinuous"/>
    </xf>
    <xf numFmtId="0" fontId="16" fillId="9" borderId="0" xfId="0" applyFont="1" applyFill="1" applyAlignment="1">
      <alignment horizontal="centerContinuous"/>
    </xf>
    <xf numFmtId="0" fontId="45" fillId="11" borderId="1" xfId="5" applyFont="1" applyFill="1" applyBorder="1" applyAlignment="1">
      <alignment horizontal="center" vertical="center" wrapText="1"/>
    </xf>
    <xf numFmtId="0" fontId="45" fillId="11" borderId="2" xfId="5" applyFont="1" applyFill="1" applyBorder="1" applyAlignment="1">
      <alignment horizontal="center" vertical="center" wrapText="1"/>
    </xf>
    <xf numFmtId="0" fontId="45" fillId="11" borderId="3" xfId="5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46" fillId="12" borderId="1" xfId="5" applyFont="1" applyFill="1" applyBorder="1" applyAlignment="1">
      <alignment horizontal="left"/>
    </xf>
    <xf numFmtId="0" fontId="46" fillId="12" borderId="2" xfId="5" applyFont="1" applyFill="1" applyBorder="1"/>
    <xf numFmtId="166" fontId="46" fillId="12" borderId="2" xfId="5" applyNumberFormat="1" applyFont="1" applyFill="1" applyBorder="1" applyAlignment="1">
      <alignment horizontal="center"/>
    </xf>
    <xf numFmtId="167" fontId="46" fillId="12" borderId="2" xfId="5" applyNumberFormat="1" applyFont="1" applyFill="1" applyBorder="1" applyAlignment="1">
      <alignment horizontal="center"/>
    </xf>
    <xf numFmtId="168" fontId="46" fillId="12" borderId="2" xfId="5" applyNumberFormat="1" applyFont="1" applyFill="1" applyBorder="1" applyAlignment="1">
      <alignment horizontal="center"/>
    </xf>
    <xf numFmtId="0" fontId="46" fillId="13" borderId="1" xfId="5" applyFont="1" applyFill="1" applyBorder="1"/>
    <xf numFmtId="0" fontId="47" fillId="13" borderId="2" xfId="5" applyFont="1" applyFill="1" applyBorder="1" applyAlignment="1">
      <alignment horizontal="center"/>
    </xf>
    <xf numFmtId="166" fontId="47" fillId="13" borderId="2" xfId="5" applyNumberFormat="1" applyFont="1" applyFill="1" applyBorder="1" applyAlignment="1">
      <alignment horizontal="center"/>
    </xf>
    <xf numFmtId="170" fontId="47" fillId="13" borderId="2" xfId="5" applyNumberFormat="1" applyFont="1" applyFill="1" applyBorder="1" applyAlignment="1">
      <alignment horizontal="center"/>
    </xf>
    <xf numFmtId="9" fontId="46" fillId="13" borderId="2" xfId="5" applyNumberFormat="1" applyFont="1" applyFill="1" applyBorder="1" applyAlignment="1">
      <alignment horizontal="center"/>
    </xf>
    <xf numFmtId="164" fontId="46" fillId="13" borderId="2" xfId="5" applyNumberFormat="1" applyFont="1" applyFill="1" applyBorder="1" applyAlignment="1">
      <alignment horizontal="center"/>
    </xf>
    <xf numFmtId="2" fontId="46" fillId="13" borderId="3" xfId="5" applyNumberFormat="1" applyFont="1" applyFill="1" applyBorder="1" applyAlignment="1">
      <alignment horizontal="center"/>
    </xf>
    <xf numFmtId="0" fontId="48" fillId="14" borderId="0" xfId="5" applyFont="1" applyFill="1" applyAlignment="1">
      <alignment horizontal="centerContinuous"/>
    </xf>
    <xf numFmtId="0" fontId="21" fillId="3" borderId="0" xfId="3" applyFont="1" applyFill="1"/>
    <xf numFmtId="164" fontId="49" fillId="3" borderId="0" xfId="10" applyNumberFormat="1" applyFont="1" applyFill="1" applyAlignment="1">
      <alignment vertical="center"/>
    </xf>
    <xf numFmtId="0" fontId="50" fillId="3" borderId="0" xfId="4" applyFont="1" applyFill="1" applyAlignment="1">
      <alignment vertical="center"/>
    </xf>
    <xf numFmtId="2" fontId="50" fillId="3" borderId="10" xfId="4" applyNumberFormat="1" applyFont="1" applyFill="1" applyBorder="1" applyAlignment="1">
      <alignment horizontal="right" vertical="center"/>
    </xf>
    <xf numFmtId="10" fontId="51" fillId="3" borderId="0" xfId="10" applyNumberFormat="1" applyFont="1" applyFill="1" applyAlignment="1">
      <alignment horizontal="right" vertical="center"/>
    </xf>
    <xf numFmtId="10" fontId="51" fillId="3" borderId="0" xfId="10" applyNumberFormat="1" applyFont="1" applyFill="1" applyAlignment="1">
      <alignment vertical="center"/>
    </xf>
    <xf numFmtId="10" fontId="49" fillId="3" borderId="5" xfId="10" applyNumberFormat="1" applyFont="1" applyFill="1" applyBorder="1" applyAlignment="1">
      <alignment vertical="center"/>
    </xf>
    <xf numFmtId="2" fontId="51" fillId="3" borderId="10" xfId="4" applyNumberFormat="1" applyFont="1" applyFill="1" applyBorder="1" applyAlignment="1">
      <alignment vertical="center"/>
    </xf>
    <xf numFmtId="10" fontId="49" fillId="3" borderId="0" xfId="10" applyNumberFormat="1" applyFont="1" applyFill="1" applyAlignment="1">
      <alignment vertical="center"/>
    </xf>
    <xf numFmtId="10" fontId="0" fillId="3" borderId="0" xfId="3" applyNumberFormat="1" applyFont="1" applyFill="1"/>
    <xf numFmtId="10" fontId="20" fillId="3" borderId="0" xfId="6" applyNumberFormat="1" applyFont="1" applyFill="1"/>
    <xf numFmtId="2" fontId="51" fillId="3" borderId="10" xfId="9" applyNumberFormat="1" applyFont="1" applyFill="1" applyBorder="1" applyAlignment="1">
      <alignment horizontal="right" vertical="center"/>
    </xf>
    <xf numFmtId="0" fontId="20" fillId="3" borderId="0" xfId="3" applyFont="1" applyFill="1"/>
    <xf numFmtId="0" fontId="20" fillId="3" borderId="24" xfId="3" applyFont="1" applyFill="1" applyBorder="1"/>
    <xf numFmtId="0" fontId="20" fillId="3" borderId="25" xfId="3" applyFont="1" applyFill="1" applyBorder="1"/>
    <xf numFmtId="10" fontId="20" fillId="3" borderId="26" xfId="6" applyNumberFormat="1" applyFont="1" applyFill="1" applyBorder="1"/>
    <xf numFmtId="0" fontId="20" fillId="15" borderId="24" xfId="3" applyFont="1" applyFill="1" applyBorder="1"/>
    <xf numFmtId="0" fontId="20" fillId="15" borderId="25" xfId="3" applyFont="1" applyFill="1" applyBorder="1"/>
    <xf numFmtId="10" fontId="20" fillId="15" borderId="26" xfId="6" applyNumberFormat="1" applyFont="1" applyFill="1" applyBorder="1"/>
    <xf numFmtId="0" fontId="0" fillId="3" borderId="0" xfId="3" quotePrefix="1" applyFont="1" applyFill="1"/>
    <xf numFmtId="0" fontId="0" fillId="5" borderId="0" xfId="3" applyFont="1" applyFill="1"/>
    <xf numFmtId="0" fontId="0" fillId="5" borderId="0" xfId="3" quotePrefix="1" applyFont="1" applyFill="1"/>
    <xf numFmtId="0" fontId="16" fillId="5" borderId="0" xfId="3" applyFont="1" applyFill="1"/>
    <xf numFmtId="2" fontId="34" fillId="3" borderId="16" xfId="6" applyNumberFormat="1" applyFont="1" applyFill="1" applyBorder="1" applyAlignment="1"/>
    <xf numFmtId="0" fontId="52" fillId="0" borderId="0" xfId="0" applyFont="1"/>
    <xf numFmtId="0" fontId="40" fillId="3" borderId="0" xfId="0" applyFont="1" applyFill="1" applyAlignment="1">
      <alignment horizontal="center"/>
    </xf>
    <xf numFmtId="0" fontId="40" fillId="3" borderId="16" xfId="0" applyFont="1" applyFill="1" applyBorder="1" applyAlignment="1">
      <alignment horizontal="center"/>
    </xf>
    <xf numFmtId="2" fontId="53" fillId="3" borderId="0" xfId="0" applyNumberFormat="1" applyFont="1" applyFill="1"/>
    <xf numFmtId="2" fontId="53" fillId="3" borderId="14" xfId="0" applyNumberFormat="1" applyFont="1" applyFill="1" applyBorder="1"/>
    <xf numFmtId="2" fontId="53" fillId="3" borderId="16" xfId="0" applyNumberFormat="1" applyFont="1" applyFill="1" applyBorder="1"/>
    <xf numFmtId="2" fontId="53" fillId="3" borderId="17" xfId="0" applyNumberFormat="1" applyFont="1" applyFill="1" applyBorder="1"/>
    <xf numFmtId="173" fontId="53" fillId="3" borderId="0" xfId="0" applyNumberFormat="1" applyFont="1" applyFill="1"/>
    <xf numFmtId="173" fontId="53" fillId="3" borderId="16" xfId="0" applyNumberFormat="1" applyFont="1" applyFill="1" applyBorder="1"/>
    <xf numFmtId="173" fontId="53" fillId="3" borderId="14" xfId="0" applyNumberFormat="1" applyFont="1" applyFill="1" applyBorder="1"/>
    <xf numFmtId="173" fontId="53" fillId="3" borderId="17" xfId="0" applyNumberFormat="1" applyFont="1" applyFill="1" applyBorder="1"/>
    <xf numFmtId="173" fontId="37" fillId="3" borderId="5" xfId="0" applyNumberFormat="1" applyFont="1" applyFill="1" applyBorder="1"/>
    <xf numFmtId="173" fontId="37" fillId="3" borderId="22" xfId="0" applyNumberFormat="1" applyFont="1" applyFill="1" applyBorder="1"/>
    <xf numFmtId="173" fontId="37" fillId="3" borderId="0" xfId="0" applyNumberFormat="1" applyFont="1" applyFill="1"/>
    <xf numFmtId="173" fontId="37" fillId="3" borderId="14" xfId="0" applyNumberFormat="1" applyFont="1" applyFill="1" applyBorder="1"/>
    <xf numFmtId="173" fontId="37" fillId="0" borderId="14" xfId="0" applyNumberFormat="1" applyFont="1" applyBorder="1"/>
    <xf numFmtId="173" fontId="54" fillId="3" borderId="0" xfId="0" applyNumberFormat="1" applyFont="1" applyFill="1" applyAlignment="1">
      <alignment readingOrder="1"/>
    </xf>
    <xf numFmtId="173" fontId="37" fillId="0" borderId="0" xfId="0" applyNumberFormat="1" applyFont="1"/>
    <xf numFmtId="0" fontId="39" fillId="3" borderId="0" xfId="0" applyFont="1" applyFill="1"/>
    <xf numFmtId="0" fontId="40" fillId="3" borderId="0" xfId="0" applyFont="1" applyFill="1"/>
    <xf numFmtId="0" fontId="40" fillId="3" borderId="13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6" fillId="3" borderId="0" xfId="0" applyFont="1" applyFill="1"/>
    <xf numFmtId="0" fontId="0" fillId="3" borderId="0" xfId="0" applyFill="1" applyAlignment="1">
      <alignment horizontal="center"/>
    </xf>
    <xf numFmtId="0" fontId="29" fillId="3" borderId="0" xfId="0" applyFont="1" applyFill="1"/>
    <xf numFmtId="0" fontId="16" fillId="3" borderId="16" xfId="0" applyFont="1" applyFill="1" applyBorder="1"/>
    <xf numFmtId="0" fontId="16" fillId="4" borderId="0" xfId="0" applyFont="1" applyFill="1"/>
    <xf numFmtId="0" fontId="16" fillId="4" borderId="0" xfId="3" applyFont="1" applyFill="1"/>
    <xf numFmtId="0" fontId="27" fillId="8" borderId="15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16" fillId="6" borderId="0" xfId="3" applyFont="1" applyFill="1"/>
    <xf numFmtId="0" fontId="25" fillId="3" borderId="0" xfId="4" applyFont="1" applyFill="1" applyAlignment="1">
      <alignment horizontal="left" indent="1"/>
    </xf>
    <xf numFmtId="164" fontId="25" fillId="3" borderId="0" xfId="10" applyNumberFormat="1" applyFont="1" applyFill="1" applyAlignment="1">
      <alignment horizontal="center" vertical="center"/>
    </xf>
    <xf numFmtId="0" fontId="22" fillId="3" borderId="0" xfId="0" applyFont="1" applyFill="1" applyAlignment="1">
      <alignment wrapText="1"/>
    </xf>
    <xf numFmtId="0" fontId="35" fillId="0" borderId="0" xfId="5" applyFont="1" applyAlignment="1">
      <alignment horizontal="left"/>
    </xf>
    <xf numFmtId="166" fontId="35" fillId="0" borderId="0" xfId="0" applyNumberFormat="1" applyFont="1" applyAlignment="1">
      <alignment horizontal="center"/>
    </xf>
    <xf numFmtId="167" fontId="35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/>
    </xf>
    <xf numFmtId="168" fontId="24" fillId="0" borderId="0" xfId="0" applyNumberFormat="1" applyFont="1" applyAlignment="1">
      <alignment horizontal="center"/>
    </xf>
    <xf numFmtId="168" fontId="37" fillId="0" borderId="0" xfId="0" applyNumberFormat="1" applyFont="1" applyAlignment="1">
      <alignment horizontal="center" vertical="top" wrapText="1"/>
    </xf>
    <xf numFmtId="169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71" fontId="1" fillId="3" borderId="0" xfId="0" applyNumberFormat="1" applyFont="1" applyFill="1"/>
    <xf numFmtId="0" fontId="24" fillId="3" borderId="5" xfId="5" applyFill="1" applyBorder="1"/>
    <xf numFmtId="0" fontId="24" fillId="3" borderId="5" xfId="5" applyFill="1" applyBorder="1" applyAlignment="1">
      <alignment horizontal="center"/>
    </xf>
    <xf numFmtId="166" fontId="24" fillId="3" borderId="5" xfId="5" applyNumberFormat="1" applyFill="1" applyBorder="1" applyAlignment="1">
      <alignment horizontal="center"/>
    </xf>
    <xf numFmtId="167" fontId="24" fillId="3" borderId="0" xfId="0" applyNumberFormat="1" applyFont="1" applyFill="1" applyAlignment="1">
      <alignment horizontal="center"/>
    </xf>
    <xf numFmtId="168" fontId="24" fillId="3" borderId="0" xfId="0" applyNumberFormat="1" applyFont="1" applyFill="1" applyAlignment="1">
      <alignment horizontal="center"/>
    </xf>
    <xf numFmtId="164" fontId="37" fillId="3" borderId="5" xfId="5" applyNumberFormat="1" applyFont="1" applyFill="1" applyBorder="1" applyAlignment="1">
      <alignment horizontal="center"/>
    </xf>
    <xf numFmtId="169" fontId="1" fillId="3" borderId="0" xfId="0" applyNumberFormat="1" applyFont="1" applyFill="1" applyAlignment="1">
      <alignment horizontal="center"/>
    </xf>
    <xf numFmtId="0" fontId="24" fillId="3" borderId="0" xfId="5" applyFill="1"/>
    <xf numFmtId="0" fontId="24" fillId="3" borderId="0" xfId="5" applyFill="1" applyAlignment="1">
      <alignment horizontal="center"/>
    </xf>
    <xf numFmtId="166" fontId="24" fillId="3" borderId="0" xfId="5" applyNumberFormat="1" applyFill="1" applyAlignment="1">
      <alignment horizontal="center"/>
    </xf>
    <xf numFmtId="172" fontId="24" fillId="3" borderId="0" xfId="5" applyNumberFormat="1" applyFill="1" applyAlignment="1">
      <alignment horizontal="center"/>
    </xf>
    <xf numFmtId="164" fontId="37" fillId="3" borderId="0" xfId="5" applyNumberFormat="1" applyFont="1" applyFill="1" applyAlignment="1">
      <alignment horizontal="center"/>
    </xf>
    <xf numFmtId="9" fontId="25" fillId="3" borderId="10" xfId="10" applyFont="1" applyFill="1" applyBorder="1" applyAlignment="1">
      <alignment vertical="center"/>
    </xf>
    <xf numFmtId="165" fontId="16" fillId="4" borderId="0" xfId="11" applyNumberFormat="1" applyFont="1" applyFill="1"/>
    <xf numFmtId="9" fontId="0" fillId="3" borderId="0" xfId="0" applyNumberFormat="1" applyFill="1"/>
    <xf numFmtId="3" fontId="27" fillId="8" borderId="18" xfId="3" applyNumberFormat="1" applyFont="1" applyFill="1" applyBorder="1" applyAlignment="1">
      <alignment horizontal="center"/>
    </xf>
    <xf numFmtId="174" fontId="27" fillId="8" borderId="18" xfId="3" applyNumberFormat="1" applyFont="1" applyFill="1" applyBorder="1" applyAlignment="1">
      <alignment horizontal="center"/>
    </xf>
    <xf numFmtId="3" fontId="0" fillId="3" borderId="0" xfId="0" applyNumberFormat="1" applyFill="1"/>
    <xf numFmtId="0" fontId="0" fillId="3" borderId="27" xfId="0" applyFill="1" applyBorder="1"/>
    <xf numFmtId="44" fontId="0" fillId="3" borderId="0" xfId="0" applyNumberFormat="1" applyFill="1"/>
    <xf numFmtId="175" fontId="0" fillId="3" borderId="0" xfId="0" applyNumberFormat="1" applyFill="1"/>
    <xf numFmtId="0" fontId="27" fillId="3" borderId="0" xfId="0" applyFont="1" applyFill="1"/>
    <xf numFmtId="3" fontId="42" fillId="3" borderId="0" xfId="0" applyNumberFormat="1" applyFont="1" applyFill="1"/>
    <xf numFmtId="0" fontId="42" fillId="3" borderId="0" xfId="0" applyFont="1" applyFill="1" applyAlignment="1">
      <alignment horizontal="center"/>
    </xf>
    <xf numFmtId="176" fontId="27" fillId="8" borderId="18" xfId="3" applyNumberFormat="1" applyFont="1" applyFill="1" applyBorder="1" applyAlignment="1">
      <alignment horizontal="center"/>
    </xf>
    <xf numFmtId="176" fontId="0" fillId="3" borderId="0" xfId="0" applyNumberFormat="1" applyFill="1"/>
    <xf numFmtId="8" fontId="32" fillId="8" borderId="19" xfId="6" applyNumberFormat="1" applyFont="1" applyFill="1" applyBorder="1" applyAlignment="1">
      <alignment horizontal="right" vertical="center"/>
    </xf>
    <xf numFmtId="2" fontId="0" fillId="3" borderId="0" xfId="0" applyNumberFormat="1" applyFill="1"/>
    <xf numFmtId="0" fontId="0" fillId="3" borderId="28" xfId="0" applyFill="1" applyBorder="1"/>
    <xf numFmtId="0" fontId="0" fillId="3" borderId="29" xfId="0" applyFill="1" applyBorder="1"/>
    <xf numFmtId="44" fontId="0" fillId="3" borderId="30" xfId="0" applyNumberFormat="1" applyFill="1" applyBorder="1"/>
    <xf numFmtId="177" fontId="0" fillId="3" borderId="0" xfId="0" applyNumberFormat="1" applyFill="1"/>
    <xf numFmtId="1" fontId="0" fillId="3" borderId="0" xfId="0" applyNumberFormat="1" applyFill="1"/>
    <xf numFmtId="164" fontId="27" fillId="8" borderId="18" xfId="3" applyNumberFormat="1" applyFont="1" applyFill="1" applyBorder="1" applyAlignment="1">
      <alignment horizontal="center"/>
    </xf>
    <xf numFmtId="4" fontId="27" fillId="8" borderId="18" xfId="3" applyNumberFormat="1" applyFont="1" applyFill="1" applyBorder="1" applyAlignment="1">
      <alignment horizontal="center"/>
    </xf>
    <xf numFmtId="10" fontId="0" fillId="3" borderId="0" xfId="0" applyNumberFormat="1" applyFill="1"/>
    <xf numFmtId="41" fontId="0" fillId="3" borderId="0" xfId="0" applyNumberFormat="1" applyFill="1"/>
    <xf numFmtId="0" fontId="0" fillId="3" borderId="0" xfId="0" applyFill="1" applyAlignment="1">
      <alignment horizontal="right"/>
    </xf>
    <xf numFmtId="0" fontId="20" fillId="3" borderId="0" xfId="0" applyFont="1" applyFill="1"/>
    <xf numFmtId="41" fontId="0" fillId="3" borderId="16" xfId="0" applyNumberFormat="1" applyFill="1" applyBorder="1"/>
    <xf numFmtId="0" fontId="20" fillId="3" borderId="0" xfId="0" applyFont="1" applyFill="1" applyAlignment="1">
      <alignment horizontal="right"/>
    </xf>
    <xf numFmtId="44" fontId="17" fillId="3" borderId="0" xfId="3" applyNumberFormat="1" applyFill="1"/>
    <xf numFmtId="0" fontId="55" fillId="0" borderId="0" xfId="0" applyFont="1"/>
    <xf numFmtId="0" fontId="56" fillId="3" borderId="0" xfId="0" applyFont="1" applyFill="1"/>
    <xf numFmtId="44" fontId="0" fillId="3" borderId="16" xfId="0" applyNumberFormat="1" applyFill="1" applyBorder="1"/>
    <xf numFmtId="0" fontId="56" fillId="3" borderId="16" xfId="0" applyFont="1" applyFill="1" applyBorder="1"/>
    <xf numFmtId="2" fontId="42" fillId="3" borderId="0" xfId="0" applyNumberFormat="1" applyFont="1" applyFill="1"/>
    <xf numFmtId="44" fontId="42" fillId="3" borderId="0" xfId="0" applyNumberFormat="1" applyFont="1" applyFill="1"/>
    <xf numFmtId="2" fontId="0" fillId="3" borderId="16" xfId="0" applyNumberFormat="1" applyFill="1" applyBorder="1"/>
    <xf numFmtId="3" fontId="0" fillId="3" borderId="16" xfId="0" applyNumberFormat="1" applyFill="1" applyBorder="1"/>
    <xf numFmtId="0" fontId="57" fillId="3" borderId="0" xfId="0" applyFont="1" applyFill="1"/>
    <xf numFmtId="0" fontId="31" fillId="5" borderId="0" xfId="0" applyFont="1" applyFill="1"/>
    <xf numFmtId="0" fontId="58" fillId="3" borderId="0" xfId="0" applyFont="1" applyFill="1"/>
    <xf numFmtId="0" fontId="59" fillId="3" borderId="0" xfId="0" applyFont="1" applyFill="1" applyAlignment="1">
      <alignment horizontal="center"/>
    </xf>
    <xf numFmtId="0" fontId="59" fillId="3" borderId="5" xfId="0" applyFont="1" applyFill="1" applyBorder="1" applyAlignment="1">
      <alignment horizontal="center"/>
    </xf>
    <xf numFmtId="0" fontId="55" fillId="3" borderId="0" xfId="0" applyFont="1" applyFill="1"/>
    <xf numFmtId="0" fontId="55" fillId="3" borderId="16" xfId="0" applyFont="1" applyFill="1" applyBorder="1"/>
    <xf numFmtId="3" fontId="42" fillId="3" borderId="16" xfId="0" applyNumberFormat="1" applyFont="1" applyFill="1" applyBorder="1"/>
    <xf numFmtId="43" fontId="0" fillId="3" borderId="0" xfId="0" applyNumberFormat="1" applyFill="1"/>
    <xf numFmtId="41" fontId="55" fillId="3" borderId="0" xfId="0" applyNumberFormat="1" applyFont="1" applyFill="1"/>
    <xf numFmtId="41" fontId="55" fillId="3" borderId="16" xfId="0" applyNumberFormat="1" applyFont="1" applyFill="1" applyBorder="1"/>
    <xf numFmtId="0" fontId="0" fillId="3" borderId="13" xfId="0" applyFill="1" applyBorder="1"/>
    <xf numFmtId="44" fontId="0" fillId="3" borderId="13" xfId="0" applyNumberFormat="1" applyFill="1" applyBorder="1"/>
    <xf numFmtId="43" fontId="0" fillId="3" borderId="16" xfId="0" applyNumberFormat="1" applyFill="1" applyBorder="1"/>
    <xf numFmtId="43" fontId="27" fillId="8" borderId="18" xfId="0" applyNumberFormat="1" applyFont="1" applyFill="1" applyBorder="1" applyAlignment="1">
      <alignment horizontal="left"/>
    </xf>
    <xf numFmtId="1" fontId="42" fillId="3" borderId="0" xfId="0" applyNumberFormat="1" applyFont="1" applyFill="1"/>
    <xf numFmtId="1" fontId="42" fillId="3" borderId="16" xfId="0" applyNumberFormat="1" applyFont="1" applyFill="1" applyBorder="1"/>
    <xf numFmtId="41" fontId="42" fillId="3" borderId="0" xfId="0" applyNumberFormat="1" applyFont="1" applyFill="1"/>
    <xf numFmtId="10" fontId="0" fillId="3" borderId="4" xfId="0" applyNumberFormat="1" applyFill="1" applyBorder="1"/>
    <xf numFmtId="0" fontId="0" fillId="3" borderId="19" xfId="0" applyFill="1" applyBorder="1"/>
    <xf numFmtId="2" fontId="37" fillId="3" borderId="8" xfId="0" applyNumberFormat="1" applyFont="1" applyFill="1" applyBorder="1"/>
    <xf numFmtId="2" fontId="16" fillId="3" borderId="0" xfId="0" applyNumberFormat="1" applyFont="1" applyFill="1"/>
    <xf numFmtId="2" fontId="37" fillId="3" borderId="6" xfId="0" applyNumberFormat="1" applyFont="1" applyFill="1" applyBorder="1"/>
    <xf numFmtId="2" fontId="53" fillId="3" borderId="8" xfId="0" applyNumberFormat="1" applyFont="1" applyFill="1" applyBorder="1"/>
    <xf numFmtId="2" fontId="53" fillId="3" borderId="31" xfId="0" applyNumberFormat="1" applyFont="1" applyFill="1" applyBorder="1"/>
    <xf numFmtId="173" fontId="0" fillId="3" borderId="0" xfId="0" applyNumberFormat="1" applyFill="1"/>
    <xf numFmtId="10" fontId="16" fillId="3" borderId="0" xfId="0" applyNumberFormat="1" applyFont="1" applyFill="1"/>
    <xf numFmtId="0" fontId="60" fillId="3" borderId="0" xfId="0" applyFont="1" applyFill="1"/>
    <xf numFmtId="9" fontId="60" fillId="3" borderId="0" xfId="0" applyNumberFormat="1" applyFont="1" applyFill="1"/>
    <xf numFmtId="2" fontId="60" fillId="3" borderId="0" xfId="0" applyNumberFormat="1" applyFont="1" applyFill="1"/>
    <xf numFmtId="10" fontId="60" fillId="3" borderId="0" xfId="0" applyNumberFormat="1" applyFont="1" applyFill="1"/>
    <xf numFmtId="49" fontId="61" fillId="16" borderId="0" xfId="0" applyNumberFormat="1" applyFont="1" applyFill="1"/>
    <xf numFmtId="0" fontId="16" fillId="16" borderId="0" xfId="0" applyFont="1" applyFill="1"/>
    <xf numFmtId="0" fontId="62" fillId="3" borderId="0" xfId="0" applyFont="1" applyFill="1"/>
    <xf numFmtId="0" fontId="62" fillId="3" borderId="13" xfId="0" applyFont="1" applyFill="1" applyBorder="1"/>
    <xf numFmtId="0" fontId="62" fillId="3" borderId="16" xfId="0" applyFont="1" applyFill="1" applyBorder="1"/>
    <xf numFmtId="0" fontId="0" fillId="17" borderId="0" xfId="0" applyFill="1"/>
    <xf numFmtId="44" fontId="63" fillId="3" borderId="19" xfId="0" applyNumberFormat="1" applyFont="1" applyFill="1" applyBorder="1"/>
    <xf numFmtId="10" fontId="63" fillId="3" borderId="19" xfId="0" applyNumberFormat="1" applyFont="1" applyFill="1" applyBorder="1"/>
    <xf numFmtId="10" fontId="0" fillId="3" borderId="32" xfId="0" applyNumberFormat="1" applyFill="1" applyBorder="1"/>
    <xf numFmtId="10" fontId="0" fillId="3" borderId="1" xfId="0" applyNumberFormat="1" applyFill="1" applyBorder="1"/>
    <xf numFmtId="10" fontId="0" fillId="3" borderId="19" xfId="0" applyNumberFormat="1" applyFill="1" applyBorder="1"/>
    <xf numFmtId="10" fontId="64" fillId="16" borderId="4" xfId="0" applyNumberFormat="1" applyFont="1" applyFill="1" applyBorder="1"/>
    <xf numFmtId="10" fontId="16" fillId="16" borderId="7" xfId="0" applyNumberFormat="1" applyFont="1" applyFill="1" applyBorder="1"/>
    <xf numFmtId="10" fontId="16" fillId="16" borderId="9" xfId="0" applyNumberFormat="1" applyFont="1" applyFill="1" applyBorder="1"/>
    <xf numFmtId="9" fontId="16" fillId="16" borderId="5" xfId="10" applyFont="1" applyFill="1" applyBorder="1"/>
    <xf numFmtId="9" fontId="16" fillId="16" borderId="6" xfId="10" applyFont="1" applyFill="1" applyBorder="1"/>
    <xf numFmtId="0" fontId="16" fillId="16" borderId="5" xfId="0" applyFont="1" applyFill="1" applyBorder="1"/>
    <xf numFmtId="0" fontId="16" fillId="16" borderId="6" xfId="0" applyFont="1" applyFill="1" applyBorder="1"/>
    <xf numFmtId="164" fontId="16" fillId="16" borderId="7" xfId="0" applyNumberFormat="1" applyFont="1" applyFill="1" applyBorder="1"/>
    <xf numFmtId="164" fontId="16" fillId="16" borderId="9" xfId="0" applyNumberFormat="1" applyFont="1" applyFill="1" applyBorder="1"/>
    <xf numFmtId="9" fontId="16" fillId="16" borderId="7" xfId="0" applyNumberFormat="1" applyFont="1" applyFill="1" applyBorder="1"/>
    <xf numFmtId="9" fontId="16" fillId="16" borderId="9" xfId="0" applyNumberFormat="1" applyFont="1" applyFill="1" applyBorder="1"/>
    <xf numFmtId="0" fontId="0" fillId="3" borderId="0" xfId="0" applyFill="1" applyAlignment="1">
      <alignment horizontal="right" vertical="center" textRotation="90"/>
    </xf>
  </cellXfs>
  <cellStyles count="12">
    <cellStyle name="blp_column_header" xfId="7" xr:uid="{A0952D21-6C21-4493-B2BE-BBCEBD5359E4}"/>
    <cellStyle name="Comma" xfId="9" builtinId="3"/>
    <cellStyle name="Normal" xfId="0" builtinId="0"/>
    <cellStyle name="Normal 17" xfId="2" xr:uid="{E1FF68E8-FA78-419E-BDD0-999DDDF860F1}"/>
    <cellStyle name="Normal 2 2 10" xfId="5" xr:uid="{8DC23576-C325-4172-9D11-22C90E0A1558}"/>
    <cellStyle name="Normal 24" xfId="3" xr:uid="{C2559B9A-76BA-49B2-8E03-CFDC60DECD15}"/>
    <cellStyle name="Normal 24 2" xfId="11" xr:uid="{D9CBC19E-88A5-4BB7-BC74-1C2E80CDB066}"/>
    <cellStyle name="Normal 27" xfId="8" xr:uid="{10F8214E-8FD5-42F4-B655-8F40C96529FA}"/>
    <cellStyle name="Normal 4 4" xfId="1" xr:uid="{81CA4DE4-ACA5-4B95-B0F9-9D597BBC4CC4}"/>
    <cellStyle name="Normal 7 2" xfId="4" xr:uid="{EF2D0C3A-5FAC-40A5-A7AF-F1874D2774D4}"/>
    <cellStyle name="Percent" xfId="10" builtinId="5"/>
    <cellStyle name="Percent 14" xfId="6" xr:uid="{FF87DE01-4D7E-4D06-9925-D7AD12CE781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AC140F"/>
      <color rgb="FFFBB5B6"/>
      <color rgb="FFE17F81"/>
      <color rgb="FF1E497D"/>
      <color rgb="FFA3D289"/>
      <color rgb="FF00B050"/>
      <color rgb="FF0000FF"/>
      <color rgb="FFFFF2C9"/>
      <color rgb="FFDCE6F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38100</xdr:rowOff>
    </xdr:from>
    <xdr:to>
      <xdr:col>5</xdr:col>
      <xdr:colOff>459634</xdr:colOff>
      <xdr:row>14</xdr:row>
      <xdr:rowOff>164110</xdr:rowOff>
    </xdr:to>
    <xdr:pic>
      <xdr:nvPicPr>
        <xdr:cNvPr id="2" name="Picture 1" descr="Range Resources Resolves Environmental Charges in Pennsylvania  Investigation; Cabot Charged">
          <a:extLst>
            <a:ext uri="{FF2B5EF4-FFF2-40B4-BE49-F238E27FC236}">
              <a16:creationId xmlns:a16="http://schemas.microsoft.com/office/drawing/2014/main" id="{6C3CB248-27A0-4EBF-8650-7064EC4F2C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" t="1135" r="539" b="1242"/>
        <a:stretch>
          <a:fillRect/>
        </a:stretch>
      </xdr:blipFill>
      <xdr:spPr bwMode="auto">
        <a:xfrm>
          <a:off x="1219200" y="1666875"/>
          <a:ext cx="2288434" cy="1269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35"/>
  <sheetViews>
    <sheetView topLeftCell="A6" workbookViewId="0">
      <selection activeCell="H36" sqref="H36"/>
    </sheetView>
  </sheetViews>
  <sheetFormatPr baseColWidth="10" defaultColWidth="9.1640625" defaultRowHeight="15"/>
  <cols>
    <col min="1" max="16384" width="9.1640625" style="22"/>
  </cols>
  <sheetData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 ht="23">
      <c r="B4" s="1"/>
      <c r="C4" s="2" t="s">
        <v>0</v>
      </c>
      <c r="D4" s="1"/>
      <c r="E4" s="1"/>
      <c r="F4" s="1"/>
      <c r="G4" s="1"/>
      <c r="H4" s="1"/>
      <c r="I4" s="1"/>
      <c r="J4" s="1"/>
    </row>
    <row r="5" spans="2:10">
      <c r="B5" s="1"/>
      <c r="C5" s="3" t="s">
        <v>1</v>
      </c>
      <c r="D5" s="1"/>
      <c r="E5" s="1"/>
      <c r="F5" s="1"/>
      <c r="G5" s="1"/>
      <c r="H5" s="1"/>
      <c r="I5" s="1"/>
      <c r="J5" s="1"/>
    </row>
    <row r="6" spans="2:10">
      <c r="B6" s="1"/>
      <c r="C6" s="4"/>
      <c r="D6" s="1"/>
      <c r="E6" s="1"/>
      <c r="F6" s="1"/>
      <c r="G6" s="1"/>
      <c r="H6" s="1"/>
      <c r="I6" s="1"/>
      <c r="J6" s="1"/>
    </row>
    <row r="7" spans="2:10">
      <c r="B7" s="1"/>
      <c r="C7" s="4" t="s">
        <v>2</v>
      </c>
      <c r="D7" s="1"/>
      <c r="E7" s="1"/>
      <c r="F7" s="1"/>
      <c r="G7" s="1"/>
      <c r="H7" s="1"/>
      <c r="I7" s="1"/>
      <c r="J7" s="1"/>
    </row>
    <row r="8" spans="2:10">
      <c r="B8" s="1"/>
      <c r="C8" s="4" t="s">
        <v>3</v>
      </c>
      <c r="D8" s="1"/>
      <c r="E8" s="1"/>
      <c r="F8" s="1"/>
      <c r="G8" s="1"/>
      <c r="H8" s="1"/>
      <c r="I8" s="1"/>
      <c r="J8" s="1"/>
    </row>
    <row r="9" spans="2:10">
      <c r="B9" s="1"/>
      <c r="C9" s="1"/>
      <c r="D9" s="1"/>
      <c r="E9" s="1"/>
      <c r="F9" s="1"/>
      <c r="G9" s="1"/>
      <c r="H9" s="1"/>
      <c r="I9" s="1"/>
      <c r="J9" s="1"/>
    </row>
    <row r="10" spans="2:10">
      <c r="B10" s="1"/>
      <c r="C10" s="1"/>
      <c r="D10" s="1"/>
      <c r="E10" s="1"/>
      <c r="F10" s="1"/>
      <c r="G10" s="1"/>
      <c r="H10" s="1"/>
      <c r="I10" s="1"/>
      <c r="J10" s="1"/>
    </row>
    <row r="11" spans="2:10">
      <c r="B11" s="1"/>
      <c r="C11" s="1"/>
      <c r="D11" s="1"/>
      <c r="E11" s="1"/>
      <c r="F11" s="1"/>
      <c r="G11" s="1"/>
      <c r="H11" s="1"/>
      <c r="I11" s="1"/>
      <c r="J11" s="1"/>
    </row>
    <row r="12" spans="2:10">
      <c r="B12" s="1"/>
      <c r="C12" s="1"/>
      <c r="D12" s="1"/>
      <c r="E12" s="1"/>
      <c r="F12" s="1"/>
      <c r="G12" s="1"/>
      <c r="H12" s="1"/>
      <c r="I12" s="1"/>
      <c r="J12" s="1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26"/>
      <c r="C16" s="26"/>
      <c r="D16" s="26"/>
      <c r="E16" s="26"/>
      <c r="F16" s="26"/>
      <c r="G16" s="26"/>
      <c r="H16" s="24"/>
      <c r="I16" s="24"/>
      <c r="J16" s="24"/>
    </row>
    <row r="17" spans="2:10">
      <c r="B17" s="24"/>
      <c r="C17" s="27" t="s">
        <v>4</v>
      </c>
      <c r="D17" s="24"/>
      <c r="E17" s="24"/>
      <c r="F17" s="24"/>
      <c r="G17" s="24"/>
      <c r="H17" s="24"/>
      <c r="I17" s="24"/>
      <c r="J17" s="24"/>
    </row>
    <row r="18" spans="2:10">
      <c r="B18" s="24"/>
      <c r="C18" s="24"/>
      <c r="D18" s="24"/>
      <c r="E18" s="24"/>
      <c r="F18" s="24"/>
      <c r="G18" s="24"/>
      <c r="H18" s="24"/>
      <c r="I18" s="24"/>
      <c r="J18" s="24"/>
    </row>
    <row r="19" spans="2:10">
      <c r="B19" s="24"/>
      <c r="C19" s="24"/>
      <c r="D19" s="24"/>
      <c r="E19" s="24"/>
      <c r="F19" s="24"/>
      <c r="G19" s="24"/>
      <c r="H19" s="24"/>
      <c r="I19" s="24"/>
      <c r="J19" s="24"/>
    </row>
    <row r="20" spans="2:10">
      <c r="B20" s="24"/>
      <c r="C20" s="23"/>
      <c r="D20" s="23"/>
      <c r="E20" s="23"/>
      <c r="F20" s="23"/>
      <c r="G20" s="23"/>
      <c r="H20" s="24"/>
      <c r="I20" s="24"/>
      <c r="J20" s="24"/>
    </row>
    <row r="21" spans="2:10">
      <c r="B21" s="24"/>
      <c r="C21" s="7" t="s">
        <v>5</v>
      </c>
      <c r="D21" s="8"/>
      <c r="E21" s="8"/>
      <c r="F21" s="9">
        <v>45994</v>
      </c>
      <c r="G21" s="23"/>
      <c r="H21" s="24"/>
      <c r="I21" s="24"/>
      <c r="J21" s="25"/>
    </row>
    <row r="22" spans="2:10">
      <c r="B22" s="24"/>
      <c r="C22" s="24"/>
      <c r="D22" s="23"/>
      <c r="E22" s="23"/>
      <c r="F22" s="23"/>
      <c r="G22" s="23"/>
      <c r="H22" s="24"/>
      <c r="I22" s="24"/>
      <c r="J22" s="24"/>
    </row>
    <row r="23" spans="2:10">
      <c r="B23" s="24"/>
      <c r="C23" s="34" t="s">
        <v>6</v>
      </c>
      <c r="D23" s="35"/>
      <c r="E23" s="35"/>
      <c r="F23" s="35"/>
      <c r="G23" s="23"/>
      <c r="H23" s="24"/>
      <c r="I23" s="24"/>
      <c r="J23" s="24"/>
    </row>
    <row r="24" spans="2:10">
      <c r="B24" s="24"/>
      <c r="C24" s="10" t="s">
        <v>7</v>
      </c>
      <c r="D24" s="11"/>
      <c r="E24" s="11"/>
      <c r="F24" s="12" t="s">
        <v>8</v>
      </c>
      <c r="G24" s="23"/>
      <c r="H24" s="24"/>
      <c r="I24" s="24"/>
      <c r="J24" s="23"/>
    </row>
    <row r="25" spans="2:10">
      <c r="B25" s="24"/>
      <c r="C25" s="13" t="s">
        <v>9</v>
      </c>
      <c r="D25" s="6"/>
      <c r="E25" s="6"/>
      <c r="F25" s="14" t="s">
        <v>10</v>
      </c>
      <c r="G25" s="24"/>
      <c r="H25" s="24"/>
      <c r="I25" s="24"/>
      <c r="J25" s="23"/>
    </row>
    <row r="26" spans="2:10">
      <c r="B26" s="24"/>
      <c r="C26" s="13" t="s">
        <v>11</v>
      </c>
      <c r="D26" s="6"/>
      <c r="E26" s="6"/>
      <c r="F26" s="15">
        <f>F21</f>
        <v>45994</v>
      </c>
      <c r="G26" s="24"/>
      <c r="H26" s="24"/>
      <c r="I26" s="24"/>
      <c r="J26" s="23"/>
    </row>
    <row r="27" spans="2:10">
      <c r="B27" s="24"/>
      <c r="C27" s="16" t="s">
        <v>12</v>
      </c>
      <c r="D27" s="17"/>
      <c r="E27" s="17"/>
      <c r="F27" s="18" t="s">
        <v>13</v>
      </c>
      <c r="G27" s="24"/>
      <c r="H27" s="24"/>
      <c r="I27" s="24"/>
      <c r="J27" s="23"/>
    </row>
    <row r="28" spans="2:10">
      <c r="B28" s="24"/>
      <c r="C28" s="23"/>
      <c r="D28" s="23"/>
      <c r="E28" s="23"/>
      <c r="F28" s="24"/>
      <c r="G28" s="24"/>
      <c r="H28" s="24"/>
      <c r="I28" s="24"/>
      <c r="J28" s="23"/>
    </row>
    <row r="29" spans="2:10">
      <c r="B29" s="24"/>
      <c r="C29" s="23"/>
      <c r="D29" s="23"/>
      <c r="E29" s="23"/>
      <c r="F29" s="24"/>
      <c r="G29" s="24"/>
      <c r="H29" s="24"/>
      <c r="I29" s="24"/>
      <c r="J29" s="23"/>
    </row>
    <row r="30" spans="2:10">
      <c r="B30" s="23"/>
      <c r="C30" s="23"/>
      <c r="D30" s="23"/>
      <c r="E30" s="23"/>
      <c r="F30" s="23"/>
      <c r="G30" s="23"/>
      <c r="H30" s="23"/>
      <c r="I30" s="23"/>
      <c r="J30" s="23"/>
    </row>
    <row r="31" spans="2:10">
      <c r="B31" s="23"/>
      <c r="C31" s="19" t="s">
        <v>14</v>
      </c>
      <c r="D31" s="23"/>
      <c r="E31" s="23"/>
      <c r="F31" s="23"/>
      <c r="G31" s="23"/>
      <c r="H31" s="23"/>
      <c r="I31" s="23"/>
      <c r="J31" s="23"/>
    </row>
    <row r="32" spans="2:10">
      <c r="B32" s="23"/>
      <c r="C32" s="5" t="s">
        <v>15</v>
      </c>
      <c r="D32" s="24"/>
      <c r="E32" s="24"/>
      <c r="F32" s="23"/>
      <c r="G32" s="23"/>
      <c r="H32" s="23"/>
      <c r="I32" s="23"/>
      <c r="J32" s="23"/>
    </row>
    <row r="33" spans="2:10">
      <c r="B33" s="23"/>
      <c r="C33" s="20" t="s">
        <v>16</v>
      </c>
      <c r="D33" s="24"/>
      <c r="E33" s="24"/>
      <c r="F33" s="23"/>
      <c r="G33" s="23"/>
      <c r="H33" s="23"/>
      <c r="I33" s="23"/>
      <c r="J33" s="23"/>
    </row>
    <row r="34" spans="2:10">
      <c r="B34" s="23"/>
      <c r="C34" s="21" t="s">
        <v>17</v>
      </c>
      <c r="D34" s="24"/>
      <c r="E34" s="24"/>
      <c r="F34" s="23"/>
      <c r="G34" s="23"/>
      <c r="H34" s="23"/>
      <c r="I34" s="23"/>
      <c r="J34" s="23"/>
    </row>
    <row r="35" spans="2:10">
      <c r="B35" s="23"/>
      <c r="C35" s="24"/>
      <c r="D35" s="23"/>
      <c r="E35" s="23"/>
      <c r="F35" s="23"/>
      <c r="G35" s="23"/>
      <c r="H35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6BAE-F9F9-4B30-8AD3-D17AA00F3C15}">
  <dimension ref="A1:AF98"/>
  <sheetViews>
    <sheetView topLeftCell="A19" workbookViewId="0">
      <selection activeCell="L58" sqref="L58:L60"/>
    </sheetView>
  </sheetViews>
  <sheetFormatPr baseColWidth="10" defaultColWidth="9.1640625" defaultRowHeight="15"/>
  <cols>
    <col min="1" max="1" width="2.6640625" style="22" customWidth="1"/>
    <col min="2" max="2" width="3.1640625" style="22" customWidth="1"/>
    <col min="3" max="3" width="3.33203125" style="22" customWidth="1"/>
    <col min="4" max="6" width="9.1640625" style="22"/>
    <col min="7" max="7" width="10.1640625" style="22" bestFit="1" customWidth="1"/>
    <col min="8" max="8" width="9.1640625" style="22"/>
    <col min="9" max="9" width="9.33203125" style="22" bestFit="1" customWidth="1"/>
    <col min="10" max="10" width="9.1640625" style="22"/>
    <col min="11" max="11" width="12" style="22" customWidth="1"/>
    <col min="12" max="12" width="13.33203125" style="22" bestFit="1" customWidth="1"/>
    <col min="13" max="16384" width="9.1640625" style="22"/>
  </cols>
  <sheetData>
    <row r="1" spans="1:32" s="30" customForma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s="30" customFormat="1" ht="19">
      <c r="A2" s="29"/>
      <c r="B2" s="29"/>
      <c r="C2" s="29"/>
      <c r="D2" s="31" t="str">
        <f>Cover!C5</f>
        <v>Net Asset Value Model - Range Resources Corp. (NYSE:RRC)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29"/>
      <c r="AB2" s="29"/>
      <c r="AC2" s="29"/>
      <c r="AD2" s="29"/>
      <c r="AE2" s="29"/>
      <c r="AF2" s="29"/>
    </row>
    <row r="3" spans="1:32" s="30" customFormat="1">
      <c r="A3" s="29"/>
      <c r="B3" s="29"/>
      <c r="C3" s="29"/>
      <c r="D3" s="33" t="s">
        <v>18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 s="30" customForma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 s="30" customFormat="1">
      <c r="A5" s="29"/>
      <c r="B5" s="29"/>
      <c r="C5" s="29"/>
      <c r="D5" s="171" t="s">
        <v>19</v>
      </c>
      <c r="F5" s="29"/>
      <c r="H5" s="171" t="str" cm="1">
        <f t="array" ref="H5">_xlfn.IFS(L37 = 1,"Street", L37=2,"Bear",L37=3,"Base",L37=4,"Bull")</f>
        <v>Street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spans="1:32" s="30" customFormat="1" ht="12.75" customHeight="1">
      <c r="A6" s="29"/>
      <c r="B6" s="29"/>
      <c r="C6" s="29"/>
      <c r="D6" s="171"/>
      <c r="E6" s="17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8" spans="1:32" s="36" customFormat="1">
      <c r="A8" s="22"/>
      <c r="B8" s="37" t="s">
        <v>20</v>
      </c>
      <c r="C8" s="36" t="s">
        <v>18</v>
      </c>
    </row>
    <row r="10" spans="1:32" s="38" customFormat="1">
      <c r="A10" s="22"/>
      <c r="B10" s="22"/>
      <c r="C10" s="38" t="s">
        <v>21</v>
      </c>
      <c r="D10" s="38" t="s">
        <v>22</v>
      </c>
    </row>
    <row r="12" spans="1:32">
      <c r="D12" s="39" t="s">
        <v>23</v>
      </c>
      <c r="E12" s="39"/>
    </row>
    <row r="13" spans="1:32">
      <c r="D13" s="22" t="s">
        <v>23</v>
      </c>
      <c r="G13" s="44">
        <f>Cover!F21</f>
        <v>45994</v>
      </c>
    </row>
    <row r="16" spans="1:32">
      <c r="C16" s="38" t="s">
        <v>21</v>
      </c>
      <c r="D16" s="38" t="s">
        <v>6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9" spans="4:32">
      <c r="D19" s="170"/>
      <c r="E19" s="170"/>
      <c r="F19" s="170"/>
      <c r="G19" s="170"/>
      <c r="H19" s="170" t="s">
        <v>24</v>
      </c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</row>
    <row r="20" spans="4:32">
      <c r="D20" s="166"/>
      <c r="J20" s="169"/>
      <c r="K20" s="28"/>
      <c r="L20" s="28"/>
    </row>
    <row r="21" spans="4:32">
      <c r="D21" s="22" t="s">
        <v>7</v>
      </c>
      <c r="H21" s="46" t="s">
        <v>25</v>
      </c>
      <c r="J21" s="172"/>
      <c r="K21" s="173" t="str">
        <f>Cover!F24</f>
        <v>Range Resources Corperation</v>
      </c>
      <c r="L21" s="165"/>
    </row>
    <row r="22" spans="4:32">
      <c r="D22" s="22" t="s">
        <v>26</v>
      </c>
      <c r="H22" s="46" t="s">
        <v>27</v>
      </c>
      <c r="K22" s="207"/>
      <c r="L22" s="49" t="s">
        <v>28</v>
      </c>
    </row>
    <row r="23" spans="4:32">
      <c r="H23" s="46"/>
      <c r="L23" s="167"/>
    </row>
    <row r="24" spans="4:32">
      <c r="D24" s="22" t="s">
        <v>29</v>
      </c>
      <c r="H24" s="46" t="s">
        <v>30</v>
      </c>
      <c r="L24" s="174">
        <v>39.89</v>
      </c>
    </row>
    <row r="25" spans="4:32">
      <c r="D25" s="40" t="s">
        <v>31</v>
      </c>
      <c r="H25" s="46" t="s">
        <v>32</v>
      </c>
      <c r="L25" s="45">
        <v>239.03</v>
      </c>
    </row>
    <row r="26" spans="4:32">
      <c r="D26" s="22" t="s">
        <v>33</v>
      </c>
      <c r="H26" s="46" t="s">
        <v>34</v>
      </c>
      <c r="L26" s="253">
        <f>L24*L25</f>
        <v>9534.9066999999995</v>
      </c>
    </row>
    <row r="27" spans="4:32">
      <c r="H27" s="46"/>
      <c r="L27" s="167"/>
    </row>
    <row r="28" spans="4:32">
      <c r="D28" s="22" t="s">
        <v>35</v>
      </c>
      <c r="H28" s="46" t="s">
        <v>36</v>
      </c>
      <c r="L28" s="47">
        <f>Comps!T3</f>
        <v>0.98369844820057406</v>
      </c>
    </row>
    <row r="29" spans="4:32">
      <c r="H29" s="46"/>
      <c r="L29" s="167"/>
    </row>
    <row r="30" spans="4:32">
      <c r="D30" s="168" t="s">
        <v>37</v>
      </c>
      <c r="H30" s="46"/>
      <c r="L30" s="167"/>
    </row>
    <row r="31" spans="4:32">
      <c r="D31" s="22" t="s">
        <v>38</v>
      </c>
      <c r="H31" s="46" t="s">
        <v>39</v>
      </c>
      <c r="L31" s="48">
        <v>5.4699999999999999E-2</v>
      </c>
    </row>
    <row r="32" spans="4:32">
      <c r="H32" s="46"/>
      <c r="L32" s="167"/>
      <c r="V32" s="224">
        <f ca="1">NAV!N36</f>
        <v>0.24943221070669805</v>
      </c>
    </row>
    <row r="33" spans="3:32">
      <c r="D33" s="168" t="s">
        <v>40</v>
      </c>
      <c r="H33" s="46"/>
      <c r="L33" s="167"/>
    </row>
    <row r="34" spans="3:32">
      <c r="D34" s="22" t="s">
        <v>41</v>
      </c>
      <c r="H34" s="46" t="s">
        <v>39</v>
      </c>
      <c r="L34" s="48">
        <f>NAV!AU29</f>
        <v>0.25</v>
      </c>
    </row>
    <row r="35" spans="3:32">
      <c r="D35" s="22" t="s">
        <v>42</v>
      </c>
      <c r="H35" s="46"/>
      <c r="L35" s="47">
        <v>6</v>
      </c>
    </row>
    <row r="36" spans="3:32">
      <c r="D36" s="22" t="s">
        <v>43</v>
      </c>
      <c r="H36" s="46"/>
      <c r="L36" s="47">
        <v>1.63</v>
      </c>
    </row>
    <row r="37" spans="3:32">
      <c r="D37" s="22" t="s">
        <v>44</v>
      </c>
      <c r="H37" s="46"/>
      <c r="L37" s="43">
        <f>NAV!AU28</f>
        <v>1</v>
      </c>
    </row>
    <row r="38" spans="3:32">
      <c r="H38" s="46"/>
      <c r="L38" s="167"/>
    </row>
    <row r="39" spans="3:32">
      <c r="H39" s="46"/>
      <c r="L39" s="167"/>
    </row>
    <row r="40" spans="3:32">
      <c r="D40" s="22" t="s">
        <v>45</v>
      </c>
      <c r="H40" s="46" t="s">
        <v>39</v>
      </c>
      <c r="L40" s="61">
        <f>'Cost of Capital'!G81</f>
        <v>8.3972982143818903E-2</v>
      </c>
    </row>
    <row r="44" spans="3:32">
      <c r="C44" s="41" t="s">
        <v>46</v>
      </c>
      <c r="D44" s="42" t="s">
        <v>47</v>
      </c>
      <c r="E44" s="42"/>
      <c r="F44" s="175"/>
      <c r="G44" s="175"/>
      <c r="H44" s="175"/>
      <c r="I44" s="175"/>
      <c r="J44" s="50" t="s">
        <v>48</v>
      </c>
      <c r="K44" s="175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3:32">
      <c r="C45" s="52"/>
      <c r="F45" s="52"/>
      <c r="G45" s="52"/>
      <c r="H45" s="52"/>
      <c r="I45" s="52"/>
      <c r="J45" s="52"/>
      <c r="K45" s="52"/>
    </row>
    <row r="46" spans="3:32">
      <c r="C46" s="52"/>
      <c r="D46" s="120" t="s">
        <v>49</v>
      </c>
      <c r="E46" s="53"/>
      <c r="F46" s="54" t="s">
        <v>50</v>
      </c>
      <c r="G46" s="53"/>
      <c r="H46" s="52"/>
      <c r="I46" s="52"/>
      <c r="J46" s="52"/>
      <c r="K46" s="52"/>
    </row>
    <row r="47" spans="3:32">
      <c r="C47" s="52"/>
      <c r="D47" s="55" t="s">
        <v>51</v>
      </c>
      <c r="E47" s="56"/>
      <c r="F47" s="54" t="s">
        <v>39</v>
      </c>
      <c r="G47" s="51">
        <v>0.04</v>
      </c>
      <c r="H47" s="53"/>
      <c r="I47" s="53"/>
      <c r="J47" s="57" t="s">
        <v>52</v>
      </c>
      <c r="K47" s="52"/>
    </row>
    <row r="48" spans="3:32">
      <c r="C48" s="52"/>
      <c r="D48" s="55"/>
      <c r="E48" s="56"/>
      <c r="F48" s="54" t="s">
        <v>53</v>
      </c>
      <c r="G48" s="58"/>
      <c r="H48" s="53"/>
      <c r="I48" s="53"/>
      <c r="J48" s="52"/>
      <c r="K48" s="52"/>
    </row>
    <row r="49" spans="3:32">
      <c r="D49" s="55" t="s">
        <v>54</v>
      </c>
      <c r="E49" s="56"/>
      <c r="F49" s="54" t="s">
        <v>39</v>
      </c>
      <c r="G49" s="51">
        <v>5.7599999999999998E-2</v>
      </c>
      <c r="H49" s="53"/>
      <c r="I49" s="53"/>
      <c r="J49" s="57" t="s">
        <v>55</v>
      </c>
    </row>
    <row r="52" spans="3:32">
      <c r="C52" s="41" t="s">
        <v>56</v>
      </c>
      <c r="D52" s="42" t="s">
        <v>57</v>
      </c>
      <c r="E52" s="42"/>
      <c r="F52" s="175"/>
      <c r="G52" s="175"/>
      <c r="H52" s="175"/>
      <c r="I52" s="175"/>
      <c r="J52" s="50"/>
      <c r="K52" s="175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5" spans="3:32">
      <c r="D55" s="170" t="s">
        <v>58</v>
      </c>
      <c r="E55" s="170"/>
      <c r="F55" s="170"/>
      <c r="G55" s="170"/>
      <c r="H55" s="170" t="s">
        <v>24</v>
      </c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</row>
    <row r="57" spans="3:32">
      <c r="D57" s="39" t="s">
        <v>59</v>
      </c>
    </row>
    <row r="58" spans="3:32">
      <c r="E58" s="22" t="s">
        <v>60</v>
      </c>
      <c r="G58" s="46"/>
      <c r="H58" s="46" t="s">
        <v>39</v>
      </c>
      <c r="L58" s="51">
        <v>0.68500000000000005</v>
      </c>
    </row>
    <row r="59" spans="3:32">
      <c r="E59" s="22" t="s">
        <v>61</v>
      </c>
      <c r="G59" s="46"/>
      <c r="H59" s="46" t="s">
        <v>39</v>
      </c>
      <c r="L59" s="51">
        <v>0.29859999999999998</v>
      </c>
    </row>
    <row r="60" spans="3:32">
      <c r="E60" s="22" t="s">
        <v>62</v>
      </c>
      <c r="G60" s="46"/>
      <c r="H60" s="46" t="s">
        <v>39</v>
      </c>
      <c r="L60" s="51">
        <v>1.6400000000000001E-2</v>
      </c>
    </row>
    <row r="61" spans="3:32">
      <c r="G61" s="46"/>
      <c r="H61" s="46"/>
    </row>
    <row r="63" spans="3:32">
      <c r="D63" s="170" t="s">
        <v>63</v>
      </c>
      <c r="E63" s="170"/>
      <c r="F63" s="170"/>
      <c r="G63" s="170"/>
      <c r="H63" s="170" t="s">
        <v>24</v>
      </c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</row>
    <row r="64" spans="3:32">
      <c r="H64" s="46"/>
    </row>
    <row r="65" spans="4:12">
      <c r="D65" s="22" t="s">
        <v>64</v>
      </c>
      <c r="H65" s="46" t="s">
        <v>65</v>
      </c>
      <c r="L65" s="204">
        <v>11930793</v>
      </c>
    </row>
    <row r="66" spans="4:12">
      <c r="D66" s="22" t="s">
        <v>66</v>
      </c>
      <c r="H66" s="46" t="s">
        <v>67</v>
      </c>
      <c r="L66" s="205">
        <v>2227.8000000000002</v>
      </c>
    </row>
    <row r="67" spans="4:12">
      <c r="D67" s="22" t="s">
        <v>68</v>
      </c>
      <c r="H67" s="46" t="s">
        <v>39</v>
      </c>
      <c r="L67" s="203">
        <v>0.05</v>
      </c>
    </row>
    <row r="68" spans="4:12">
      <c r="D68" s="22" t="s">
        <v>69</v>
      </c>
      <c r="H68" s="46"/>
    </row>
    <row r="69" spans="4:12">
      <c r="H69" s="46"/>
    </row>
    <row r="70" spans="4:12">
      <c r="H70" s="46"/>
    </row>
    <row r="71" spans="4:12">
      <c r="D71" s="39" t="s">
        <v>70</v>
      </c>
      <c r="H71" s="46"/>
    </row>
    <row r="72" spans="4:12">
      <c r="H72" s="46"/>
    </row>
    <row r="73" spans="4:12">
      <c r="D73" s="22" t="s">
        <v>71</v>
      </c>
      <c r="H73" s="46" t="s">
        <v>72</v>
      </c>
      <c r="L73" s="213">
        <v>0.04</v>
      </c>
    </row>
    <row r="74" spans="4:12">
      <c r="D74" s="22" t="s">
        <v>73</v>
      </c>
      <c r="H74" s="46" t="s">
        <v>72</v>
      </c>
      <c r="L74" s="213">
        <v>0.14000000000000001</v>
      </c>
    </row>
    <row r="75" spans="4:12">
      <c r="D75" s="22" t="s">
        <v>74</v>
      </c>
      <c r="H75" s="46" t="s">
        <v>72</v>
      </c>
      <c r="L75" s="213">
        <v>1.6419999999999999</v>
      </c>
    </row>
    <row r="76" spans="4:12">
      <c r="H76" s="46"/>
    </row>
    <row r="77" spans="4:12">
      <c r="D77" s="22" t="s">
        <v>75</v>
      </c>
      <c r="H77" s="46" t="s">
        <v>39</v>
      </c>
      <c r="L77" s="51">
        <v>0.2</v>
      </c>
    </row>
    <row r="78" spans="4:12">
      <c r="D78" s="22" t="s">
        <v>76</v>
      </c>
      <c r="H78" s="46" t="s">
        <v>77</v>
      </c>
      <c r="L78" s="215">
        <f>'PUD Reserves'!AP24*'Inputs &amp; Assumptions'!L77</f>
        <v>847.42667666666682</v>
      </c>
    </row>
    <row r="79" spans="4:12">
      <c r="H79" s="46"/>
    </row>
    <row r="80" spans="4:12">
      <c r="D80" s="22" t="s">
        <v>78</v>
      </c>
      <c r="H80" s="46"/>
      <c r="L80" s="220">
        <v>6424.2</v>
      </c>
    </row>
    <row r="81" spans="4:32">
      <c r="D81" s="170" t="s">
        <v>79</v>
      </c>
      <c r="E81" s="170"/>
      <c r="F81" s="170"/>
      <c r="G81" s="170"/>
      <c r="H81" s="170" t="s">
        <v>24</v>
      </c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</row>
    <row r="82" spans="4:32">
      <c r="H82" s="46"/>
    </row>
    <row r="83" spans="4:32">
      <c r="H83" s="46"/>
    </row>
    <row r="84" spans="4:32">
      <c r="D84" s="22" t="s">
        <v>80</v>
      </c>
      <c r="H84" s="46" t="s">
        <v>81</v>
      </c>
      <c r="L84" s="204">
        <v>6200683</v>
      </c>
    </row>
    <row r="85" spans="4:32">
      <c r="D85" s="22" t="s">
        <v>82</v>
      </c>
      <c r="H85" s="46" t="s">
        <v>81</v>
      </c>
      <c r="L85" s="204">
        <f>NAV!AU14</f>
        <v>15000</v>
      </c>
    </row>
    <row r="86" spans="4:32">
      <c r="D86" s="22" t="s">
        <v>83</v>
      </c>
      <c r="H86" s="46" t="s">
        <v>84</v>
      </c>
      <c r="L86" s="221">
        <f>L84/L85</f>
        <v>413.37886666666668</v>
      </c>
    </row>
    <row r="88" spans="4:32">
      <c r="D88" s="22" t="s">
        <v>85</v>
      </c>
      <c r="L88" s="22" cm="1">
        <f t="array" ref="L88">_xlfn.IFS(OR(L37=1,L37=3), 55, L37 = 2, 60, L37 = 4, 50)</f>
        <v>55</v>
      </c>
    </row>
    <row r="89" spans="4:32">
      <c r="D89" s="22" t="s">
        <v>86</v>
      </c>
      <c r="H89" s="46" t="s">
        <v>39</v>
      </c>
      <c r="L89" s="222">
        <f>NAV!AU15</f>
        <v>0.125</v>
      </c>
    </row>
    <row r="90" spans="4:32">
      <c r="D90" s="22" t="s">
        <v>87</v>
      </c>
      <c r="H90" s="46" t="s">
        <v>67</v>
      </c>
      <c r="L90" s="205">
        <f>L85*L89/365</f>
        <v>5.1369863013698627</v>
      </c>
    </row>
    <row r="92" spans="4:32">
      <c r="D92" s="22" t="s">
        <v>88</v>
      </c>
      <c r="H92" s="46" t="s">
        <v>77</v>
      </c>
      <c r="L92" s="223">
        <v>10.25</v>
      </c>
    </row>
    <row r="93" spans="4:32">
      <c r="D93" s="22" t="s">
        <v>89</v>
      </c>
      <c r="H93" s="46" t="s">
        <v>77</v>
      </c>
      <c r="L93" s="220">
        <f>'PUD Reserves'!AP24</f>
        <v>4237.1333833333338</v>
      </c>
    </row>
    <row r="96" spans="4:32">
      <c r="D96" s="170" t="s">
        <v>90</v>
      </c>
      <c r="E96" s="170"/>
      <c r="F96" s="170"/>
      <c r="G96" s="170"/>
      <c r="H96" s="170" t="s">
        <v>24</v>
      </c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</row>
    <row r="98" spans="5:12">
      <c r="E98" s="22" t="s">
        <v>91</v>
      </c>
      <c r="L98" s="222">
        <v>7.3999999999999996E-2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CEEB-F3FD-49C2-A446-F88CC754F1A2}">
  <dimension ref="A1:AH81"/>
  <sheetViews>
    <sheetView topLeftCell="A39" workbookViewId="0">
      <selection activeCell="G82" sqref="G82"/>
    </sheetView>
  </sheetViews>
  <sheetFormatPr baseColWidth="10" defaultColWidth="9.1640625" defaultRowHeight="15"/>
  <cols>
    <col min="1" max="3" width="9.1640625" style="22"/>
    <col min="4" max="4" width="33" style="22" customWidth="1"/>
    <col min="5" max="5" width="9.1640625" style="22"/>
    <col min="6" max="6" width="13.83203125" style="22" customWidth="1"/>
    <col min="7" max="7" width="12.1640625" style="22" bestFit="1" customWidth="1"/>
    <col min="8" max="8" width="10.33203125" style="22" bestFit="1" customWidth="1"/>
    <col min="9" max="9" width="12.5" style="22" customWidth="1"/>
    <col min="10" max="10" width="1.1640625" style="22" customWidth="1"/>
    <col min="11" max="11" width="9.1640625" style="22"/>
    <col min="12" max="12" width="11" style="22" customWidth="1"/>
    <col min="13" max="16384" width="9.1640625" style="22"/>
  </cols>
  <sheetData>
    <row r="1" spans="1:3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  <c r="AH1" s="30"/>
    </row>
    <row r="2" spans="1:34" ht="19">
      <c r="A2" s="29"/>
      <c r="B2" s="29"/>
      <c r="C2" s="31" t="str">
        <f>Cover!C5</f>
        <v>Net Asset Value Model - Range Resources Corp. (NYSE:RRC)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29"/>
      <c r="AB2" s="29"/>
      <c r="AC2" s="29"/>
      <c r="AD2" s="29"/>
      <c r="AE2" s="29"/>
      <c r="AF2" s="29"/>
      <c r="AG2" s="30"/>
      <c r="AH2" s="30"/>
    </row>
    <row r="3" spans="1:34">
      <c r="A3" s="29"/>
      <c r="B3" s="29"/>
      <c r="C3" s="33" t="s">
        <v>92</v>
      </c>
      <c r="D3" s="29"/>
      <c r="E3" s="29"/>
      <c r="F3" s="29"/>
      <c r="G3" s="29"/>
      <c r="H3" s="29"/>
      <c r="I3" s="29"/>
      <c r="J3" s="29"/>
      <c r="K3" s="202"/>
      <c r="L3" s="202"/>
      <c r="M3" s="202"/>
      <c r="N3" s="202"/>
      <c r="O3" s="202"/>
      <c r="P3" s="202"/>
      <c r="Q3" s="202"/>
      <c r="R3" s="202"/>
      <c r="S3" s="202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  <c r="AH3" s="30"/>
    </row>
    <row r="4" spans="1:3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  <c r="AH4" s="30"/>
    </row>
    <row r="5" spans="1:34">
      <c r="A5" s="29"/>
      <c r="B5" s="29"/>
      <c r="C5" s="171" t="s">
        <v>19</v>
      </c>
      <c r="D5" s="30"/>
      <c r="E5" s="29"/>
      <c r="F5" s="30"/>
      <c r="G5" s="171" t="str" cm="1">
        <f t="array" ref="G5">_xlfn.IFS('Inputs &amp; Assumptions'!L37= 1,"Street", 'Inputs &amp; Assumptions'!L37=2,"Bear",'Inputs &amp; Assumptions'!L37=3,"Base",'Inputs &amp; Assumptions'!L37=4,"Bull")</f>
        <v>Street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>
      <c r="A6" s="29"/>
      <c r="B6" s="29"/>
      <c r="C6" s="29"/>
      <c r="D6" s="171"/>
      <c r="E6" s="17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8" spans="1:34" s="36" customFormat="1">
      <c r="A8" s="22"/>
      <c r="B8" s="140" t="s">
        <v>53</v>
      </c>
      <c r="C8" s="141" t="s">
        <v>20</v>
      </c>
      <c r="D8" s="140" t="s">
        <v>93</v>
      </c>
      <c r="E8" s="140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34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 spans="1:34">
      <c r="B10" s="88"/>
      <c r="C10" s="88" t="s">
        <v>53</v>
      </c>
      <c r="D10" s="139" t="s">
        <v>94</v>
      </c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</row>
    <row r="12" spans="1:34">
      <c r="B12" s="53"/>
      <c r="C12" s="53"/>
      <c r="D12" s="90" t="s">
        <v>95</v>
      </c>
      <c r="E12" s="53"/>
      <c r="G12" s="54" t="s">
        <v>50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 spans="1:34">
      <c r="B13" s="53"/>
      <c r="C13" s="53"/>
      <c r="D13" s="90"/>
      <c r="E13" s="53"/>
      <c r="G13" s="54"/>
      <c r="H13" s="53"/>
      <c r="I13" s="53"/>
      <c r="J13" s="53"/>
      <c r="K13" s="53"/>
      <c r="L13" s="53"/>
      <c r="M13" s="53"/>
      <c r="N13" s="53"/>
      <c r="O13" s="53"/>
      <c r="P13" s="53"/>
      <c r="Q13" s="53"/>
    </row>
    <row r="14" spans="1:34">
      <c r="B14" s="53"/>
      <c r="C14" s="53"/>
      <c r="D14" s="53" t="s">
        <v>96</v>
      </c>
      <c r="E14" s="53"/>
      <c r="G14" s="54"/>
      <c r="H14" s="53"/>
      <c r="I14" s="53"/>
      <c r="J14" s="53"/>
      <c r="K14" s="53"/>
      <c r="L14" s="53"/>
      <c r="M14" s="53"/>
      <c r="N14" s="53"/>
      <c r="O14" s="53"/>
      <c r="P14" s="53"/>
      <c r="Q14" s="53"/>
    </row>
    <row r="15" spans="1:34">
      <c r="B15" s="53"/>
      <c r="C15" s="53"/>
      <c r="D15" s="176" t="s">
        <v>51</v>
      </c>
      <c r="E15" s="56"/>
      <c r="G15" s="54" t="s">
        <v>39</v>
      </c>
      <c r="H15" s="91">
        <v>0.04</v>
      </c>
      <c r="I15" s="53"/>
      <c r="J15" s="53"/>
      <c r="K15" s="53"/>
      <c r="L15" s="53"/>
      <c r="M15" s="53"/>
      <c r="N15" s="53"/>
      <c r="O15" s="53"/>
      <c r="P15" s="53"/>
      <c r="Q15" s="53"/>
    </row>
    <row r="16" spans="1:34">
      <c r="B16" s="53"/>
      <c r="C16" s="53"/>
      <c r="D16" s="176"/>
      <c r="E16" s="56"/>
      <c r="G16" s="54" t="s">
        <v>53</v>
      </c>
      <c r="H16" s="177"/>
      <c r="I16" s="53"/>
      <c r="J16" s="53"/>
      <c r="K16" s="53"/>
      <c r="L16" s="53"/>
      <c r="M16" s="53"/>
      <c r="N16" s="53"/>
      <c r="O16" s="53"/>
      <c r="P16" s="53"/>
      <c r="Q16" s="53"/>
    </row>
    <row r="17" spans="2:17">
      <c r="B17" s="53"/>
      <c r="C17" s="53"/>
      <c r="D17" s="176" t="s">
        <v>54</v>
      </c>
      <c r="E17" s="56"/>
      <c r="G17" s="54" t="s">
        <v>39</v>
      </c>
      <c r="H17" s="92">
        <v>5.7599999999999998E-2</v>
      </c>
      <c r="I17" s="53"/>
      <c r="J17" s="53"/>
      <c r="K17" s="53"/>
      <c r="L17" s="53"/>
      <c r="M17" s="53"/>
      <c r="N17" s="53"/>
      <c r="O17" s="53"/>
      <c r="P17" s="53"/>
      <c r="Q17" s="53"/>
    </row>
    <row r="18" spans="2:17">
      <c r="B18" s="53"/>
      <c r="C18" s="53"/>
      <c r="D18" s="55"/>
      <c r="E18" s="56"/>
      <c r="G18" s="54"/>
      <c r="H18" s="177"/>
      <c r="I18" s="53"/>
      <c r="J18" s="53"/>
      <c r="K18" s="53"/>
      <c r="L18" s="53"/>
      <c r="M18" s="53"/>
      <c r="N18" s="53"/>
      <c r="O18" s="53"/>
      <c r="P18" s="53"/>
      <c r="Q18" s="53"/>
    </row>
    <row r="19" spans="2:17">
      <c r="B19" s="53"/>
      <c r="C19" s="53"/>
      <c r="D19" s="53" t="s">
        <v>97</v>
      </c>
      <c r="E19" s="56"/>
      <c r="G19" s="54"/>
      <c r="H19" s="177"/>
      <c r="I19" s="53"/>
      <c r="J19" s="53"/>
      <c r="K19" s="53"/>
      <c r="L19" s="53"/>
      <c r="M19" s="53"/>
      <c r="N19" s="53"/>
      <c r="O19" s="53"/>
      <c r="P19" s="53"/>
      <c r="Q19" s="53"/>
    </row>
    <row r="20" spans="2:17">
      <c r="B20" s="53"/>
      <c r="C20" s="53"/>
      <c r="D20" s="176" t="s">
        <v>98</v>
      </c>
      <c r="E20" s="56"/>
      <c r="G20" s="54" t="s">
        <v>39</v>
      </c>
      <c r="H20" s="92">
        <v>5.4699999999999999E-2</v>
      </c>
      <c r="I20" s="53"/>
      <c r="J20" s="53"/>
      <c r="K20" s="53"/>
      <c r="L20" s="53"/>
      <c r="M20" s="53"/>
      <c r="N20" s="53"/>
      <c r="O20" s="53"/>
      <c r="P20" s="53"/>
      <c r="Q20" s="53"/>
    </row>
    <row r="21" spans="2:17">
      <c r="D21" s="93"/>
    </row>
    <row r="22" spans="2:17">
      <c r="D22" s="176" t="s">
        <v>99</v>
      </c>
      <c r="E22" s="56"/>
      <c r="G22" s="54" t="s">
        <v>100</v>
      </c>
      <c r="H22" s="94">
        <v>9326.9506000000001</v>
      </c>
    </row>
    <row r="23" spans="2:17">
      <c r="D23" s="93"/>
    </row>
    <row r="24" spans="2:17">
      <c r="B24" s="53"/>
      <c r="C24" s="53"/>
      <c r="D24" s="176" t="s">
        <v>101</v>
      </c>
      <c r="E24" s="56"/>
      <c r="G24" s="54" t="s">
        <v>102</v>
      </c>
      <c r="H24" s="94">
        <v>1393.4</v>
      </c>
      <c r="I24" s="53"/>
      <c r="J24" s="53"/>
      <c r="K24" s="53"/>
      <c r="L24" s="53"/>
      <c r="M24" s="53"/>
      <c r="N24" s="53"/>
      <c r="O24" s="53"/>
      <c r="P24" s="53"/>
      <c r="Q24" s="53"/>
    </row>
    <row r="25" spans="2:17">
      <c r="B25" s="53"/>
      <c r="C25" s="53"/>
      <c r="D25" s="176"/>
      <c r="E25" s="53"/>
      <c r="G25" s="54"/>
      <c r="I25" s="53"/>
      <c r="J25" s="88"/>
      <c r="K25" s="53"/>
      <c r="L25" s="53"/>
      <c r="M25" s="53"/>
      <c r="N25" s="53"/>
      <c r="O25" s="53"/>
      <c r="P25" s="53"/>
      <c r="Q25" s="53"/>
    </row>
    <row r="26" spans="2:17">
      <c r="B26" s="53"/>
      <c r="C26" s="53"/>
      <c r="D26" s="176" t="s">
        <v>103</v>
      </c>
      <c r="E26" s="95"/>
      <c r="G26" s="54" t="s">
        <v>39</v>
      </c>
      <c r="H26" s="96">
        <v>0.25</v>
      </c>
      <c r="I26" s="53"/>
      <c r="J26" s="53"/>
      <c r="K26" s="53"/>
      <c r="L26" s="53"/>
      <c r="M26" s="53"/>
      <c r="N26" s="53"/>
      <c r="O26" s="53"/>
      <c r="P26" s="53"/>
      <c r="Q26" s="53"/>
    </row>
    <row r="28" spans="2:17">
      <c r="B28" s="53"/>
      <c r="C28" s="53"/>
      <c r="D28" s="97" t="s">
        <v>104</v>
      </c>
      <c r="E28" s="56"/>
      <c r="G28" s="88"/>
      <c r="H28" s="177"/>
      <c r="I28" s="53"/>
      <c r="J28" s="53"/>
      <c r="K28" s="53"/>
      <c r="L28" s="53"/>
      <c r="M28" s="53"/>
      <c r="N28" s="53"/>
      <c r="O28" s="53"/>
      <c r="P28" s="53"/>
      <c r="Q28" s="53"/>
    </row>
    <row r="29" spans="2:17">
      <c r="B29" s="53"/>
      <c r="C29" s="53"/>
      <c r="D29" s="176" t="s">
        <v>35</v>
      </c>
      <c r="E29" s="53"/>
      <c r="G29" s="54" t="s">
        <v>53</v>
      </c>
      <c r="H29" s="98">
        <v>0.88</v>
      </c>
      <c r="I29" s="53"/>
      <c r="J29" s="88"/>
      <c r="K29" s="53"/>
      <c r="L29" s="53"/>
      <c r="M29" s="53"/>
      <c r="N29" s="53"/>
      <c r="O29" s="53"/>
      <c r="P29" s="53"/>
      <c r="Q29" s="53"/>
    </row>
    <row r="30" spans="2:17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</row>
    <row r="31" spans="2:17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</row>
    <row r="32" spans="2:17">
      <c r="B32" s="88"/>
      <c r="C32" s="88" t="s">
        <v>53</v>
      </c>
      <c r="D32" s="139" t="s">
        <v>105</v>
      </c>
      <c r="E32" s="88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</row>
    <row r="33" spans="2:32">
      <c r="B33" s="53"/>
      <c r="C33" s="53"/>
      <c r="D33" s="88"/>
      <c r="E33" s="88"/>
      <c r="F33" s="88"/>
      <c r="G33" s="88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 spans="2:32">
      <c r="B34" s="53"/>
      <c r="C34" s="53"/>
      <c r="D34" s="99"/>
      <c r="E34" s="88"/>
      <c r="F34" s="88"/>
      <c r="G34" s="88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 spans="2:32">
      <c r="B35" s="53"/>
      <c r="C35" s="53"/>
      <c r="D35" s="88"/>
      <c r="E35" s="88"/>
      <c r="F35" s="88"/>
      <c r="G35" s="88"/>
      <c r="H35" s="53"/>
      <c r="I35" s="53"/>
      <c r="J35" s="53"/>
      <c r="K35" s="53"/>
      <c r="L35" s="53"/>
      <c r="M35" s="53"/>
      <c r="N35" s="53"/>
      <c r="O35" s="53"/>
      <c r="P35" s="53"/>
      <c r="Q35" s="53"/>
    </row>
    <row r="36" spans="2:32">
      <c r="B36" s="53"/>
      <c r="C36" s="53"/>
      <c r="D36" s="100" t="s">
        <v>106</v>
      </c>
      <c r="E36" s="101"/>
      <c r="F36" s="101"/>
      <c r="G36" s="101"/>
      <c r="H36" s="102"/>
      <c r="I36" s="102"/>
      <c r="J36" s="102"/>
      <c r="K36" s="102"/>
      <c r="L36" s="102"/>
      <c r="M36" s="53"/>
      <c r="N36" s="53"/>
      <c r="O36" s="88"/>
      <c r="P36" s="88"/>
      <c r="Q36" s="88"/>
    </row>
    <row r="37" spans="2:32" ht="98">
      <c r="B37" s="178"/>
      <c r="C37" s="178"/>
      <c r="D37" s="103" t="s">
        <v>25</v>
      </c>
      <c r="E37" s="104" t="s">
        <v>9</v>
      </c>
      <c r="F37" s="104" t="s">
        <v>107</v>
      </c>
      <c r="G37" s="104" t="s">
        <v>108</v>
      </c>
      <c r="H37" s="104" t="s">
        <v>109</v>
      </c>
      <c r="I37" s="104" t="s">
        <v>110</v>
      </c>
      <c r="J37" s="104" t="s">
        <v>111</v>
      </c>
      <c r="K37" s="104" t="s">
        <v>112</v>
      </c>
      <c r="L37" s="105" t="s">
        <v>113</v>
      </c>
      <c r="M37" s="178"/>
      <c r="N37" s="178"/>
      <c r="O37" s="106"/>
      <c r="P37" s="106"/>
      <c r="Q37" s="106"/>
    </row>
    <row r="38" spans="2:32">
      <c r="B38" s="53"/>
      <c r="C38" s="53"/>
      <c r="D38" s="179" t="s">
        <v>114</v>
      </c>
      <c r="E38" s="179" t="s">
        <v>115</v>
      </c>
      <c r="F38" s="180">
        <v>1.158189219982267</v>
      </c>
      <c r="G38" s="181">
        <v>4219.0000639999998</v>
      </c>
      <c r="H38" s="182">
        <v>0.32372837476844563</v>
      </c>
      <c r="I38" s="181">
        <v>8813.5308873499998</v>
      </c>
      <c r="J38" s="183">
        <v>0.67627162523155437</v>
      </c>
      <c r="K38" s="184">
        <v>0.25</v>
      </c>
      <c r="L38" s="185">
        <v>0.8522226711947487</v>
      </c>
      <c r="M38" s="53"/>
      <c r="N38" s="53"/>
      <c r="O38" s="88"/>
      <c r="P38" s="88"/>
      <c r="Q38" s="88"/>
    </row>
    <row r="39" spans="2:32">
      <c r="B39" s="53"/>
      <c r="C39" s="53"/>
      <c r="D39" s="179" t="s">
        <v>116</v>
      </c>
      <c r="E39" s="179" t="s">
        <v>117</v>
      </c>
      <c r="F39" s="180">
        <v>1.103583063819459</v>
      </c>
      <c r="G39" s="181">
        <v>3183.92704</v>
      </c>
      <c r="H39" s="182">
        <v>0.29571930885606484</v>
      </c>
      <c r="I39" s="181">
        <v>7582.7931052499998</v>
      </c>
      <c r="J39" s="183">
        <v>0.70428069114393521</v>
      </c>
      <c r="K39" s="184">
        <v>0.25</v>
      </c>
      <c r="L39" s="185">
        <v>0.83928007375865421</v>
      </c>
      <c r="M39" s="53"/>
      <c r="N39" s="53"/>
      <c r="O39" s="88"/>
      <c r="P39" s="88"/>
      <c r="Q39" s="88"/>
    </row>
    <row r="40" spans="2:32">
      <c r="B40" s="53"/>
      <c r="C40" s="53"/>
      <c r="D40" s="179" t="s">
        <v>118</v>
      </c>
      <c r="E40" s="179" t="s">
        <v>119</v>
      </c>
      <c r="F40" s="180">
        <v>1.15992894703839</v>
      </c>
      <c r="G40" s="181">
        <v>3577.2119039999998</v>
      </c>
      <c r="H40" s="182">
        <v>0.23068877628115075</v>
      </c>
      <c r="I40" s="181">
        <v>11929.445860920003</v>
      </c>
      <c r="J40" s="183">
        <v>0.7693112237188493</v>
      </c>
      <c r="K40" s="184">
        <v>0.25</v>
      </c>
      <c r="L40" s="185">
        <v>0.94695959522559148</v>
      </c>
      <c r="M40" s="53"/>
      <c r="N40" s="53"/>
      <c r="O40" s="88"/>
      <c r="P40" s="88"/>
      <c r="Q40" s="88"/>
    </row>
    <row r="41" spans="2:32">
      <c r="B41" s="53"/>
      <c r="C41" s="53"/>
      <c r="D41" s="179" t="s">
        <v>120</v>
      </c>
      <c r="E41" s="179" t="s">
        <v>121</v>
      </c>
      <c r="F41" s="180">
        <v>0.80980968947503307</v>
      </c>
      <c r="G41" s="181">
        <v>2773.7479680000001</v>
      </c>
      <c r="H41" s="182">
        <v>0.34955239961276424</v>
      </c>
      <c r="I41" s="181">
        <v>5161.3941482399996</v>
      </c>
      <c r="J41" s="183">
        <v>0.6504476003872357</v>
      </c>
      <c r="K41" s="184">
        <v>0.25</v>
      </c>
      <c r="L41" s="185">
        <v>0.5771771869657758</v>
      </c>
      <c r="M41" s="53"/>
      <c r="N41" s="53"/>
      <c r="O41" s="88"/>
      <c r="P41" s="88"/>
      <c r="Q41" s="88"/>
    </row>
    <row r="42" spans="2:32">
      <c r="B42" s="53"/>
      <c r="C42" s="53"/>
      <c r="D42" s="179" t="s">
        <v>122</v>
      </c>
      <c r="E42" s="179" t="s">
        <v>123</v>
      </c>
      <c r="F42" s="180">
        <v>0.78887897572371701</v>
      </c>
      <c r="G42" s="181">
        <v>4019.0000639999998</v>
      </c>
      <c r="H42" s="182">
        <v>0.16665588410550092</v>
      </c>
      <c r="I42" s="181">
        <v>20096.560485039998</v>
      </c>
      <c r="J42" s="183">
        <v>0.83334411589449908</v>
      </c>
      <c r="K42" s="184">
        <v>0.25</v>
      </c>
      <c r="L42" s="185">
        <v>0.68598866441066675</v>
      </c>
      <c r="M42" s="53"/>
      <c r="N42" s="53"/>
      <c r="O42" s="88"/>
      <c r="P42" s="88"/>
      <c r="Q42" s="88"/>
    </row>
    <row r="43" spans="2:32">
      <c r="B43" s="53"/>
      <c r="C43" s="53"/>
      <c r="D43" s="179" t="s">
        <v>124</v>
      </c>
      <c r="E43" s="179" t="s">
        <v>125</v>
      </c>
      <c r="F43" s="180">
        <v>1.0494801022990541</v>
      </c>
      <c r="G43" s="181">
        <v>7271.0000639999998</v>
      </c>
      <c r="H43" s="182">
        <v>0.24092117336864605</v>
      </c>
      <c r="I43" s="181">
        <v>22908.996000000003</v>
      </c>
      <c r="J43" s="183">
        <v>0.75907882663135395</v>
      </c>
      <c r="K43" s="184">
        <v>0.25</v>
      </c>
      <c r="L43" s="185">
        <v>0.84769504590571776</v>
      </c>
      <c r="M43" s="53"/>
      <c r="N43" s="53"/>
      <c r="O43" s="88"/>
      <c r="P43" s="88"/>
      <c r="Q43" s="88"/>
    </row>
    <row r="44" spans="2:32">
      <c r="B44" s="53"/>
      <c r="C44" s="53"/>
      <c r="D44" s="179" t="s">
        <v>126</v>
      </c>
      <c r="E44" s="179" t="s">
        <v>127</v>
      </c>
      <c r="F44" s="180">
        <v>0.83211298614183005</v>
      </c>
      <c r="G44" s="181">
        <v>4522.9998079999996</v>
      </c>
      <c r="H44" s="182">
        <v>0.1374285888521862</v>
      </c>
      <c r="I44" s="181">
        <v>28388.637033914998</v>
      </c>
      <c r="J44" s="183">
        <v>0.86257141114781377</v>
      </c>
      <c r="K44" s="184">
        <v>0.25</v>
      </c>
      <c r="L44" s="185">
        <v>0.74329434595746535</v>
      </c>
      <c r="M44" s="53"/>
      <c r="N44" s="53"/>
      <c r="O44" s="88"/>
      <c r="P44" s="88"/>
      <c r="Q44" s="88"/>
    </row>
    <row r="45" spans="2:32">
      <c r="B45" s="53"/>
      <c r="C45" s="53"/>
      <c r="D45" s="179" t="s">
        <v>128</v>
      </c>
      <c r="E45" s="179" t="s">
        <v>129</v>
      </c>
      <c r="F45" s="180">
        <v>0.93071323881303902</v>
      </c>
      <c r="G45" s="181">
        <v>7982.0861439999999</v>
      </c>
      <c r="H45" s="182">
        <v>0.17824489380794165</v>
      </c>
      <c r="I45" s="181">
        <v>36799.483602399996</v>
      </c>
      <c r="J45" s="183">
        <v>0.82175510619205838</v>
      </c>
      <c r="K45" s="184">
        <v>0.25</v>
      </c>
      <c r="L45" s="185">
        <v>0.80048913145271361</v>
      </c>
      <c r="M45" s="53"/>
      <c r="N45" s="53"/>
      <c r="O45" s="88"/>
      <c r="P45" s="88"/>
      <c r="Q45" s="52"/>
    </row>
    <row r="46" spans="2:32">
      <c r="B46" s="53"/>
      <c r="C46" s="53"/>
      <c r="D46" s="179" t="s">
        <v>130</v>
      </c>
      <c r="E46" s="179" t="s">
        <v>131</v>
      </c>
      <c r="F46" s="180">
        <v>0.97279572122732505</v>
      </c>
      <c r="G46" s="181">
        <v>16083.000319999999</v>
      </c>
      <c r="H46" s="182">
        <v>0.27290356849210268</v>
      </c>
      <c r="I46" s="181">
        <v>42849.905573699994</v>
      </c>
      <c r="J46" s="183">
        <v>0.72709643150789738</v>
      </c>
      <c r="K46" s="184">
        <v>0.25</v>
      </c>
      <c r="L46" s="185">
        <v>0.75910705342751261</v>
      </c>
      <c r="M46" s="53"/>
      <c r="N46" s="53"/>
      <c r="O46" s="88"/>
      <c r="P46" s="88"/>
      <c r="Q46" s="52"/>
    </row>
    <row r="47" spans="2:32">
      <c r="B47" s="53"/>
      <c r="C47" s="53"/>
      <c r="D47" s="179" t="s">
        <v>132</v>
      </c>
      <c r="E47" s="179" t="s">
        <v>133</v>
      </c>
      <c r="F47" s="180">
        <v>0.84169962923564912</v>
      </c>
      <c r="G47" s="181">
        <v>17226.000383999999</v>
      </c>
      <c r="H47" s="182">
        <v>0.13782938318356158</v>
      </c>
      <c r="I47" s="181">
        <v>107754.60960000001</v>
      </c>
      <c r="J47" s="183">
        <v>0.86217061681643847</v>
      </c>
      <c r="K47" s="184">
        <v>0.25</v>
      </c>
      <c r="L47" s="185">
        <v>0.75158635960049591</v>
      </c>
      <c r="M47" s="53"/>
      <c r="N47" s="53"/>
      <c r="O47" s="88"/>
      <c r="P47" s="88"/>
      <c r="Q47" s="52"/>
    </row>
    <row r="48" spans="2:32">
      <c r="B48" s="53"/>
      <c r="C48" s="53"/>
      <c r="D48" s="186"/>
      <c r="E48" s="186"/>
      <c r="F48" s="187"/>
      <c r="G48" s="187"/>
      <c r="H48" s="187"/>
      <c r="I48" s="187"/>
      <c r="J48" s="187"/>
      <c r="K48" s="187"/>
      <c r="L48" s="187"/>
      <c r="M48" s="53"/>
      <c r="N48" s="53"/>
      <c r="O48" s="88"/>
      <c r="P48" s="88"/>
      <c r="Q48" s="88"/>
      <c r="AF48" s="53"/>
    </row>
    <row r="49" spans="2:32">
      <c r="B49" s="53"/>
      <c r="C49" s="53"/>
      <c r="D49" s="107" t="s">
        <v>134</v>
      </c>
      <c r="E49" s="108"/>
      <c r="F49" s="109">
        <v>0.95175448002018204</v>
      </c>
      <c r="G49" s="110">
        <v>4370.9999360000002</v>
      </c>
      <c r="H49" s="111">
        <v>0.2358049748248984</v>
      </c>
      <c r="I49" s="110">
        <v>21502.778242519998</v>
      </c>
      <c r="J49" s="111">
        <v>0.76419502517510163</v>
      </c>
      <c r="K49" s="111">
        <v>0.25</v>
      </c>
      <c r="L49" s="111">
        <v>0.77979809244011311</v>
      </c>
      <c r="M49" s="53"/>
      <c r="N49" s="53"/>
      <c r="O49" s="88"/>
      <c r="P49" s="88"/>
      <c r="Q49" s="88"/>
      <c r="AF49" s="53"/>
    </row>
    <row r="50" spans="2:32">
      <c r="B50" s="53"/>
      <c r="C50" s="53"/>
      <c r="D50" s="186"/>
      <c r="E50" s="186"/>
      <c r="F50" s="187"/>
      <c r="G50" s="187"/>
      <c r="H50" s="187"/>
      <c r="I50" s="187"/>
      <c r="J50" s="187"/>
      <c r="K50" s="187"/>
      <c r="L50" s="187"/>
      <c r="M50" s="53"/>
      <c r="N50" s="53"/>
      <c r="O50" s="88"/>
      <c r="P50" s="88"/>
      <c r="Q50" s="88"/>
      <c r="AF50" s="53"/>
    </row>
    <row r="51" spans="2:32">
      <c r="B51" s="53"/>
      <c r="C51" s="53"/>
      <c r="D51" s="112" t="s">
        <v>135</v>
      </c>
      <c r="E51" s="113" t="s">
        <v>28</v>
      </c>
      <c r="F51" s="114">
        <v>0.98369844820057406</v>
      </c>
      <c r="G51" s="115">
        <v>1372.913024</v>
      </c>
      <c r="H51" s="116">
        <v>0.13055137800590208</v>
      </c>
      <c r="I51" s="115">
        <v>9143.3530236700008</v>
      </c>
      <c r="J51" s="116">
        <v>0.869448621994098</v>
      </c>
      <c r="K51" s="117">
        <v>0.25</v>
      </c>
      <c r="L51" s="118">
        <v>0.88413140351243169</v>
      </c>
      <c r="M51" s="53"/>
      <c r="N51" s="53"/>
      <c r="O51" s="88"/>
      <c r="P51" s="88"/>
      <c r="Q51" s="88"/>
    </row>
    <row r="52" spans="2:32">
      <c r="B52" s="53"/>
      <c r="C52" s="53"/>
      <c r="D52" s="186"/>
      <c r="E52" s="186"/>
      <c r="F52" s="186"/>
      <c r="G52" s="186"/>
      <c r="H52" s="188"/>
      <c r="I52" s="186"/>
      <c r="J52" s="88"/>
      <c r="K52" s="186"/>
      <c r="L52" s="186"/>
      <c r="M52" s="53"/>
      <c r="N52" s="53"/>
      <c r="O52" s="88"/>
      <c r="P52" s="88"/>
      <c r="Q52" s="88"/>
    </row>
    <row r="53" spans="2:32">
      <c r="B53" s="53"/>
      <c r="C53" s="53"/>
      <c r="D53" s="186"/>
      <c r="E53" s="186"/>
      <c r="F53" s="186"/>
      <c r="G53" s="186"/>
      <c r="H53" s="186"/>
      <c r="I53" s="186"/>
      <c r="J53" s="186"/>
      <c r="K53" s="186"/>
      <c r="L53" s="186"/>
      <c r="M53" s="53"/>
      <c r="N53" s="88"/>
      <c r="O53" s="88"/>
      <c r="P53" s="88"/>
      <c r="Q53" s="88"/>
    </row>
    <row r="54" spans="2:32">
      <c r="B54" s="53"/>
      <c r="C54" s="53"/>
      <c r="D54" s="100" t="s">
        <v>136</v>
      </c>
      <c r="E54" s="101"/>
      <c r="F54" s="101"/>
      <c r="G54" s="101"/>
      <c r="H54" s="102"/>
      <c r="I54" s="102"/>
      <c r="J54" s="102"/>
      <c r="K54" s="102"/>
      <c r="L54" s="102"/>
      <c r="M54" s="53"/>
      <c r="N54" s="53"/>
      <c r="O54" s="88"/>
      <c r="P54" s="88"/>
      <c r="Q54" s="88"/>
    </row>
    <row r="55" spans="2:32" ht="98">
      <c r="B55" s="53"/>
      <c r="C55" s="53"/>
      <c r="D55" s="103" t="s">
        <v>137</v>
      </c>
      <c r="E55" s="104" t="s">
        <v>9</v>
      </c>
      <c r="F55" s="104" t="s">
        <v>138</v>
      </c>
      <c r="G55" s="104" t="s">
        <v>108</v>
      </c>
      <c r="H55" s="104" t="s">
        <v>109</v>
      </c>
      <c r="I55" s="104" t="s">
        <v>110</v>
      </c>
      <c r="J55" s="104" t="s">
        <v>111</v>
      </c>
      <c r="K55" s="104" t="s">
        <v>112</v>
      </c>
      <c r="L55" s="105" t="s">
        <v>139</v>
      </c>
      <c r="N55" s="53"/>
      <c r="Q55" s="88"/>
    </row>
    <row r="56" spans="2:32">
      <c r="D56" s="189" t="s">
        <v>135</v>
      </c>
      <c r="E56" s="190" t="s">
        <v>28</v>
      </c>
      <c r="F56" s="191">
        <v>0.77979809244011311</v>
      </c>
      <c r="G56" s="192">
        <v>1372.913024</v>
      </c>
      <c r="H56" s="193">
        <v>0.13055137800590208</v>
      </c>
      <c r="I56" s="192">
        <v>9143.3530236700008</v>
      </c>
      <c r="J56" s="193">
        <v>0.869448621994098</v>
      </c>
      <c r="K56" s="194">
        <v>0.25</v>
      </c>
      <c r="L56" s="195">
        <v>0.86761557206956641</v>
      </c>
    </row>
    <row r="57" spans="2:32">
      <c r="D57" s="196" t="s">
        <v>140</v>
      </c>
      <c r="E57" s="197"/>
      <c r="F57" s="198">
        <v>0.77979809244011311</v>
      </c>
      <c r="G57" s="199">
        <v>2479.787850622758</v>
      </c>
      <c r="H57" s="193">
        <v>0.2358049748248984</v>
      </c>
      <c r="I57" s="192">
        <v>8036.4781970472422</v>
      </c>
      <c r="J57" s="193">
        <v>0.76419502517510163</v>
      </c>
      <c r="K57" s="200">
        <v>0.25</v>
      </c>
      <c r="L57" s="195">
        <v>0.960262761306099</v>
      </c>
    </row>
    <row r="59" spans="2:32">
      <c r="B59" s="88"/>
      <c r="C59" s="88" t="s">
        <v>53</v>
      </c>
      <c r="D59" s="88" t="s">
        <v>141</v>
      </c>
      <c r="E59" s="88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</row>
    <row r="61" spans="2:32"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</row>
    <row r="62" spans="2:32">
      <c r="B62" s="88"/>
      <c r="C62" s="88"/>
      <c r="D62" s="119" t="s">
        <v>142</v>
      </c>
      <c r="E62" s="119"/>
      <c r="F62" s="119"/>
      <c r="G62" s="119"/>
      <c r="H62" s="88"/>
      <c r="I62" s="119" t="s">
        <v>143</v>
      </c>
      <c r="J62" s="119"/>
      <c r="K62" s="119"/>
      <c r="L62" s="119"/>
      <c r="M62" s="88"/>
      <c r="N62" s="119" t="s">
        <v>144</v>
      </c>
      <c r="O62" s="119"/>
      <c r="P62" s="119"/>
      <c r="Q62" s="119"/>
    </row>
    <row r="63" spans="2:32">
      <c r="B63" s="88"/>
      <c r="C63" s="88"/>
      <c r="D63" s="120" t="s">
        <v>145</v>
      </c>
      <c r="E63" s="54"/>
      <c r="F63" s="88"/>
      <c r="G63" s="88"/>
      <c r="H63" s="88"/>
      <c r="I63" s="120" t="s">
        <v>145</v>
      </c>
      <c r="J63" s="54"/>
      <c r="K63" s="88"/>
      <c r="L63" s="88"/>
      <c r="M63" s="88"/>
      <c r="N63" s="120" t="s">
        <v>145</v>
      </c>
      <c r="O63" s="54"/>
      <c r="P63" s="88"/>
      <c r="Q63" s="88"/>
    </row>
    <row r="64" spans="2:32">
      <c r="B64" s="88"/>
      <c r="C64" s="88"/>
      <c r="D64" s="88" t="s">
        <v>146</v>
      </c>
      <c r="E64" s="88"/>
      <c r="F64" s="88"/>
      <c r="G64" s="121">
        <v>5.7599999999999998E-2</v>
      </c>
      <c r="H64" s="88"/>
      <c r="I64" s="88" t="s">
        <v>146</v>
      </c>
      <c r="J64" s="88"/>
      <c r="K64" s="88"/>
      <c r="L64" s="121">
        <v>5.7599999999999998E-2</v>
      </c>
      <c r="M64" s="88"/>
      <c r="N64" s="88" t="s">
        <v>146</v>
      </c>
      <c r="O64" s="88"/>
      <c r="P64" s="88"/>
      <c r="Q64" s="121">
        <v>5.7599999999999998E-2</v>
      </c>
    </row>
    <row r="65" spans="2:17">
      <c r="B65" s="88"/>
      <c r="C65" s="88"/>
      <c r="D65" s="122" t="s">
        <v>147</v>
      </c>
      <c r="E65" s="88"/>
      <c r="F65" s="88"/>
      <c r="G65" s="123">
        <v>0.88</v>
      </c>
      <c r="H65" s="88"/>
      <c r="I65" s="122" t="s">
        <v>147</v>
      </c>
      <c r="J65" s="88"/>
      <c r="K65" s="88"/>
      <c r="L65" s="123">
        <v>0.86761557206956641</v>
      </c>
      <c r="M65" s="88"/>
      <c r="N65" s="122" t="s">
        <v>147</v>
      </c>
      <c r="O65" s="88"/>
      <c r="P65" s="88"/>
      <c r="Q65" s="123">
        <v>0.960262761306099</v>
      </c>
    </row>
    <row r="66" spans="2:17">
      <c r="B66" s="88"/>
      <c r="C66" s="88"/>
      <c r="D66" s="56" t="s">
        <v>148</v>
      </c>
      <c r="E66" s="88"/>
      <c r="F66" s="88"/>
      <c r="G66" s="124">
        <v>5.0687999999999997E-2</v>
      </c>
      <c r="H66" s="88"/>
      <c r="I66" s="56" t="s">
        <v>148</v>
      </c>
      <c r="J66" s="88"/>
      <c r="K66" s="88"/>
      <c r="L66" s="124">
        <v>4.9974656951207022E-2</v>
      </c>
      <c r="M66" s="88"/>
      <c r="N66" s="56" t="s">
        <v>148</v>
      </c>
      <c r="O66" s="88"/>
      <c r="P66" s="88"/>
      <c r="Q66" s="124">
        <v>5.5311135051231301E-2</v>
      </c>
    </row>
    <row r="67" spans="2:17">
      <c r="B67" s="88"/>
      <c r="C67" s="88"/>
      <c r="D67" s="56" t="s">
        <v>149</v>
      </c>
      <c r="E67" s="88"/>
      <c r="F67" s="88"/>
      <c r="G67" s="125">
        <v>0.04</v>
      </c>
      <c r="H67" s="88"/>
      <c r="I67" s="56" t="s">
        <v>149</v>
      </c>
      <c r="J67" s="88"/>
      <c r="K67" s="88"/>
      <c r="L67" s="125">
        <v>0.04</v>
      </c>
      <c r="M67" s="88"/>
      <c r="N67" s="56" t="s">
        <v>149</v>
      </c>
      <c r="O67" s="88"/>
      <c r="P67" s="88"/>
      <c r="Q67" s="125">
        <v>0.04</v>
      </c>
    </row>
    <row r="68" spans="2:17">
      <c r="B68" s="88"/>
      <c r="C68" s="88"/>
      <c r="D68" s="122" t="s">
        <v>150</v>
      </c>
      <c r="E68" s="88"/>
      <c r="F68" s="88"/>
      <c r="G68" s="126">
        <v>9.0687999999999991E-2</v>
      </c>
      <c r="H68" s="88"/>
      <c r="I68" s="122" t="s">
        <v>150</v>
      </c>
      <c r="J68" s="88"/>
      <c r="K68" s="88"/>
      <c r="L68" s="126">
        <v>8.9974656951207016E-2</v>
      </c>
      <c r="M68" s="88"/>
      <c r="N68" s="122" t="s">
        <v>150</v>
      </c>
      <c r="O68" s="88"/>
      <c r="P68" s="88"/>
      <c r="Q68" s="126">
        <v>9.5311135051231302E-2</v>
      </c>
    </row>
    <row r="69" spans="2:17">
      <c r="B69" s="88"/>
      <c r="C69" s="88"/>
      <c r="D69" s="56" t="s">
        <v>151</v>
      </c>
      <c r="E69" s="88"/>
      <c r="F69" s="88"/>
      <c r="G69" s="127">
        <v>0.869448621994098</v>
      </c>
      <c r="H69" s="88"/>
      <c r="I69" s="56" t="s">
        <v>151</v>
      </c>
      <c r="J69" s="88"/>
      <c r="K69" s="88"/>
      <c r="L69" s="127">
        <v>0.869448621994098</v>
      </c>
      <c r="M69" s="88"/>
      <c r="N69" s="56" t="s">
        <v>151</v>
      </c>
      <c r="O69" s="88"/>
      <c r="P69" s="88"/>
      <c r="Q69" s="127">
        <v>0.76419502517510163</v>
      </c>
    </row>
    <row r="70" spans="2:17">
      <c r="B70" s="88"/>
      <c r="C70" s="88"/>
      <c r="D70" s="122" t="s">
        <v>152</v>
      </c>
      <c r="E70" s="88"/>
      <c r="F70" s="88"/>
      <c r="G70" s="128">
        <v>7.8848556631400751E-2</v>
      </c>
      <c r="H70" s="88"/>
      <c r="I70" s="122" t="s">
        <v>152</v>
      </c>
      <c r="J70" s="88"/>
      <c r="K70" s="88"/>
      <c r="L70" s="128">
        <v>7.8228341500618637E-2</v>
      </c>
      <c r="M70" s="88"/>
      <c r="N70" s="122" t="s">
        <v>152</v>
      </c>
      <c r="O70" s="88"/>
      <c r="P70" s="88"/>
      <c r="Q70" s="128">
        <v>7.2836295249943214E-2</v>
      </c>
    </row>
    <row r="71" spans="2:17">
      <c r="B71" s="88"/>
      <c r="C71" s="88"/>
      <c r="D71" s="88"/>
      <c r="E71" s="88"/>
      <c r="F71" s="88"/>
      <c r="G71" s="129"/>
      <c r="H71" s="88"/>
      <c r="I71" s="88"/>
      <c r="J71" s="88"/>
      <c r="K71" s="88"/>
      <c r="L71" s="129"/>
      <c r="M71" s="88"/>
      <c r="N71" s="88"/>
      <c r="O71" s="88"/>
      <c r="P71" s="88"/>
      <c r="Q71" s="129"/>
    </row>
    <row r="72" spans="2:17">
      <c r="B72" s="88"/>
      <c r="C72" s="88"/>
      <c r="D72" s="120" t="s">
        <v>108</v>
      </c>
      <c r="E72" s="130"/>
      <c r="F72" s="88"/>
      <c r="G72" s="88"/>
      <c r="H72" s="88"/>
      <c r="I72" s="120" t="s">
        <v>108</v>
      </c>
      <c r="J72" s="130"/>
      <c r="K72" s="88"/>
      <c r="L72" s="88"/>
      <c r="M72" s="88"/>
      <c r="N72" s="120" t="s">
        <v>108</v>
      </c>
      <c r="O72" s="130"/>
      <c r="P72" s="88"/>
      <c r="Q72" s="88"/>
    </row>
    <row r="73" spans="2:17">
      <c r="B73" s="88"/>
      <c r="C73" s="88"/>
      <c r="D73" s="122" t="s">
        <v>153</v>
      </c>
      <c r="E73" s="88"/>
      <c r="F73" s="88"/>
      <c r="G73" s="125">
        <v>5.4699999999999999E-2</v>
      </c>
      <c r="H73" s="88"/>
      <c r="I73" s="122" t="s">
        <v>153</v>
      </c>
      <c r="J73" s="88"/>
      <c r="K73" s="88"/>
      <c r="L73" s="125">
        <v>5.4699999999999999E-2</v>
      </c>
      <c r="M73" s="88"/>
      <c r="N73" s="122" t="s">
        <v>153</v>
      </c>
      <c r="O73" s="88"/>
      <c r="P73" s="88"/>
      <c r="Q73" s="125">
        <v>5.4699999999999999E-2</v>
      </c>
    </row>
    <row r="74" spans="2:17">
      <c r="B74" s="88"/>
      <c r="C74" s="88"/>
      <c r="D74" s="56" t="s">
        <v>154</v>
      </c>
      <c r="E74" s="88"/>
      <c r="F74" s="88"/>
      <c r="G74" s="201">
        <v>0.25</v>
      </c>
      <c r="H74" s="88"/>
      <c r="I74" s="56" t="s">
        <v>154</v>
      </c>
      <c r="J74" s="88"/>
      <c r="K74" s="88"/>
      <c r="L74" s="201">
        <v>0.25</v>
      </c>
      <c r="M74" s="88"/>
      <c r="N74" s="56" t="s">
        <v>154</v>
      </c>
      <c r="O74" s="88"/>
      <c r="P74" s="88"/>
      <c r="Q74" s="201">
        <v>0.25</v>
      </c>
    </row>
    <row r="75" spans="2:17">
      <c r="B75" s="88"/>
      <c r="C75" s="88"/>
      <c r="D75" s="122" t="s">
        <v>155</v>
      </c>
      <c r="E75" s="88"/>
      <c r="F75" s="88"/>
      <c r="G75" s="128">
        <v>4.1024999999999999E-2</v>
      </c>
      <c r="H75" s="88"/>
      <c r="I75" s="122" t="s">
        <v>155</v>
      </c>
      <c r="J75" s="88"/>
      <c r="K75" s="88"/>
      <c r="L75" s="128">
        <v>4.1024999999999999E-2</v>
      </c>
      <c r="M75" s="88"/>
      <c r="N75" s="122" t="s">
        <v>155</v>
      </c>
      <c r="O75" s="88"/>
      <c r="P75" s="88"/>
      <c r="Q75" s="128">
        <v>4.1024999999999999E-2</v>
      </c>
    </row>
    <row r="76" spans="2:17">
      <c r="B76" s="88"/>
      <c r="C76" s="88"/>
      <c r="D76" s="56" t="s">
        <v>156</v>
      </c>
      <c r="E76" s="88"/>
      <c r="F76" s="88"/>
      <c r="G76" s="131">
        <v>0.130551378005902</v>
      </c>
      <c r="H76" s="88"/>
      <c r="I76" s="56" t="s">
        <v>156</v>
      </c>
      <c r="J76" s="88"/>
      <c r="K76" s="88"/>
      <c r="L76" s="131">
        <v>0.130551378005902</v>
      </c>
      <c r="M76" s="88"/>
      <c r="N76" s="56" t="s">
        <v>156</v>
      </c>
      <c r="O76" s="88"/>
      <c r="P76" s="88"/>
      <c r="Q76" s="131">
        <v>0.23580497482489837</v>
      </c>
    </row>
    <row r="77" spans="2:17">
      <c r="B77" s="88"/>
      <c r="C77" s="88"/>
      <c r="D77" s="122" t="s">
        <v>157</v>
      </c>
      <c r="E77" s="88"/>
      <c r="F77" s="88"/>
      <c r="G77" s="128">
        <v>5.3558702826921297E-3</v>
      </c>
      <c r="H77" s="88"/>
      <c r="I77" s="122" t="s">
        <v>157</v>
      </c>
      <c r="J77" s="88"/>
      <c r="K77" s="88"/>
      <c r="L77" s="128">
        <v>5.3558702826921297E-3</v>
      </c>
      <c r="M77" s="88"/>
      <c r="N77" s="122" t="s">
        <v>157</v>
      </c>
      <c r="O77" s="88"/>
      <c r="P77" s="88"/>
      <c r="Q77" s="128">
        <v>9.6738990921914556E-3</v>
      </c>
    </row>
    <row r="78" spans="2:17">
      <c r="B78" s="88"/>
      <c r="C78" s="88"/>
      <c r="D78" s="132"/>
      <c r="E78" s="130"/>
      <c r="F78" s="88"/>
      <c r="G78" s="88"/>
      <c r="H78" s="88"/>
      <c r="I78" s="132"/>
      <c r="J78" s="130"/>
      <c r="K78" s="88"/>
      <c r="L78" s="88"/>
      <c r="M78" s="88"/>
      <c r="N78" s="132"/>
      <c r="O78" s="130"/>
      <c r="P78" s="88"/>
      <c r="Q78" s="88"/>
    </row>
    <row r="79" spans="2:17">
      <c r="B79" s="88"/>
      <c r="C79" s="88"/>
      <c r="D79" s="133" t="s">
        <v>158</v>
      </c>
      <c r="E79" s="134"/>
      <c r="F79" s="134"/>
      <c r="G79" s="135">
        <v>8.4204426914092884E-2</v>
      </c>
      <c r="H79" s="88"/>
      <c r="I79" s="133" t="s">
        <v>158</v>
      </c>
      <c r="J79" s="134"/>
      <c r="K79" s="134"/>
      <c r="L79" s="135">
        <v>8.3584211783310769E-2</v>
      </c>
      <c r="M79" s="88"/>
      <c r="N79" s="133" t="s">
        <v>158</v>
      </c>
      <c r="O79" s="134"/>
      <c r="P79" s="134"/>
      <c r="Q79" s="135">
        <v>8.2510194342134663E-2</v>
      </c>
    </row>
    <row r="80" spans="2:17"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</row>
    <row r="81" spans="2:17">
      <c r="B81" s="88"/>
      <c r="C81" s="88"/>
      <c r="D81" s="136" t="s">
        <v>159</v>
      </c>
      <c r="E81" s="137"/>
      <c r="F81" s="137"/>
      <c r="G81" s="138">
        <f>NAV!AU40</f>
        <v>8.3972982143818903E-2</v>
      </c>
      <c r="H81" s="88"/>
      <c r="I81" s="88"/>
      <c r="J81" s="88"/>
      <c r="K81" s="88"/>
      <c r="L81" s="88"/>
      <c r="M81" s="88"/>
      <c r="N81" s="88"/>
      <c r="O81" s="88"/>
      <c r="P81" s="88"/>
      <c r="Q81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762E-D640-45B7-8E59-C86D96134E14}">
  <dimension ref="A1:V15"/>
  <sheetViews>
    <sheetView workbookViewId="0">
      <selection activeCell="L31" sqref="L31"/>
    </sheetView>
  </sheetViews>
  <sheetFormatPr baseColWidth="10" defaultColWidth="9.1640625" defaultRowHeight="15"/>
  <cols>
    <col min="1" max="3" width="9.1640625" style="22"/>
    <col min="4" max="4" width="10.5" style="22" customWidth="1"/>
    <col min="5" max="5" width="9.1640625" style="22"/>
    <col min="6" max="6" width="10.33203125" style="22" customWidth="1"/>
    <col min="7" max="16384" width="9.1640625" style="22"/>
  </cols>
  <sheetData>
    <row r="1" spans="1:22" s="30" customFormat="1">
      <c r="A1" s="59" t="s">
        <v>25</v>
      </c>
      <c r="B1" s="59" t="s">
        <v>9</v>
      </c>
      <c r="C1" s="59" t="s">
        <v>160</v>
      </c>
      <c r="D1" s="59" t="s">
        <v>161</v>
      </c>
      <c r="E1" s="59" t="s">
        <v>162</v>
      </c>
      <c r="F1" s="59" t="s">
        <v>163</v>
      </c>
      <c r="G1" s="59" t="s">
        <v>164</v>
      </c>
      <c r="H1" s="59" t="s">
        <v>165</v>
      </c>
      <c r="I1" s="59" t="s">
        <v>166</v>
      </c>
      <c r="J1" s="59" t="s">
        <v>167</v>
      </c>
      <c r="K1" s="59" t="s">
        <v>168</v>
      </c>
      <c r="L1" s="59" t="s">
        <v>169</v>
      </c>
      <c r="M1" s="59" t="s">
        <v>170</v>
      </c>
      <c r="N1" s="59" t="s">
        <v>171</v>
      </c>
      <c r="O1" s="59" t="s">
        <v>172</v>
      </c>
      <c r="P1" s="59" t="s">
        <v>173</v>
      </c>
      <c r="Q1" s="59" t="s">
        <v>174</v>
      </c>
      <c r="R1" s="59" t="s">
        <v>175</v>
      </c>
      <c r="S1" s="59" t="s">
        <v>176</v>
      </c>
      <c r="T1" s="59" t="s">
        <v>177</v>
      </c>
      <c r="U1" s="60"/>
      <c r="V1" s="60" t="s">
        <v>178</v>
      </c>
    </row>
    <row r="2" spans="1:22">
      <c r="A2" s="62" t="s">
        <v>179</v>
      </c>
      <c r="B2" s="62">
        <v>0</v>
      </c>
      <c r="C2" s="63">
        <v>37.419998168945312</v>
      </c>
      <c r="D2" s="63">
        <v>20096.560485039998</v>
      </c>
      <c r="E2" s="63">
        <v>4219.0000639999998</v>
      </c>
      <c r="F2" s="63">
        <v>23555.338000000003</v>
      </c>
      <c r="G2" s="63">
        <v>3.210229337170845</v>
      </c>
      <c r="H2" s="63">
        <v>3.0315848393666829</v>
      </c>
      <c r="I2" s="63">
        <v>6.3968049444189505</v>
      </c>
      <c r="J2" s="63">
        <v>5.3704973737517125</v>
      </c>
      <c r="K2" s="63">
        <v>12.68782303383961</v>
      </c>
      <c r="L2" s="63">
        <v>13.436629526462397</v>
      </c>
      <c r="M2" s="63">
        <v>1.0748569965362551</v>
      </c>
      <c r="N2" s="63">
        <v>3457.2001279999999</v>
      </c>
      <c r="O2" s="63">
        <v>4911.1111111111104</v>
      </c>
      <c r="P2" s="63">
        <v>5167.83757338552</v>
      </c>
      <c r="Q2" s="63">
        <v>1177.430016</v>
      </c>
      <c r="R2" s="63">
        <v>1370.48</v>
      </c>
      <c r="S2" s="63">
        <v>1934.2433908045975</v>
      </c>
      <c r="T2" s="63">
        <v>0.97279572122732505</v>
      </c>
      <c r="U2" s="62"/>
      <c r="V2" s="62">
        <f t="shared" ref="V2:V13" si="0">E2/(E2+D2)</f>
        <v>0.1735102941793612</v>
      </c>
    </row>
    <row r="3" spans="1:22">
      <c r="A3" s="62" t="s">
        <v>180</v>
      </c>
      <c r="B3" s="62" t="s">
        <v>28</v>
      </c>
      <c r="C3" s="63">
        <v>37.799999237060547</v>
      </c>
      <c r="D3" s="63">
        <v>9143.3530236700008</v>
      </c>
      <c r="E3" s="63">
        <v>1372.913024</v>
      </c>
      <c r="F3" s="63">
        <v>10304.535000000002</v>
      </c>
      <c r="G3" s="63">
        <v>3.5189111673648994</v>
      </c>
      <c r="H3" s="63">
        <v>3.1327547268426739</v>
      </c>
      <c r="I3" s="63">
        <v>7.4439277417834333</v>
      </c>
      <c r="J3" s="63">
        <v>6.4139876777036644</v>
      </c>
      <c r="K3" s="63">
        <v>10.717071997684636</v>
      </c>
      <c r="L3" s="63">
        <v>13.436629526462397</v>
      </c>
      <c r="M3" s="63">
        <v>1.207505941390991</v>
      </c>
      <c r="N3" s="63">
        <v>1184.700032</v>
      </c>
      <c r="O3" s="63">
        <v>1391.7307692307691</v>
      </c>
      <c r="P3" s="63">
        <v>1615.1849315068496</v>
      </c>
      <c r="Q3" s="63">
        <v>535.58300799999995</v>
      </c>
      <c r="R3" s="63">
        <v>688.17399999999998</v>
      </c>
      <c r="S3" s="63">
        <v>851.41547126436785</v>
      </c>
      <c r="T3" s="63">
        <v>0.98369844820057406</v>
      </c>
      <c r="U3" s="62"/>
      <c r="V3" s="62">
        <f t="shared" si="0"/>
        <v>0.13055137800590208</v>
      </c>
    </row>
    <row r="4" spans="1:22">
      <c r="A4" s="62" t="s">
        <v>114</v>
      </c>
      <c r="B4" s="62" t="s">
        <v>115</v>
      </c>
      <c r="C4" s="63">
        <v>24.079999923706055</v>
      </c>
      <c r="D4" s="63">
        <v>8813.5308873499998</v>
      </c>
      <c r="E4" s="63">
        <v>4219.0000639999998</v>
      </c>
      <c r="F4" s="63">
        <v>13605.174000000001</v>
      </c>
      <c r="G4" s="63">
        <v>1.6395861864949381</v>
      </c>
      <c r="H4" s="63">
        <v>1.8072387841430892</v>
      </c>
      <c r="I4" s="63">
        <v>2.6529706844936927</v>
      </c>
      <c r="J4" s="63">
        <v>2.9201239501515244</v>
      </c>
      <c r="K4" s="63">
        <v>8.3853063694119303</v>
      </c>
      <c r="L4" s="63">
        <v>6.9374651032942491</v>
      </c>
      <c r="M4" s="63">
        <v>0.78771501779556308</v>
      </c>
      <c r="N4" s="63">
        <v>5522.8001279999999</v>
      </c>
      <c r="O4" s="63">
        <v>5173.2692307692305</v>
      </c>
      <c r="P4" s="63">
        <v>4700.037407797683</v>
      </c>
      <c r="Q4" s="63">
        <v>1398.2699520000001</v>
      </c>
      <c r="R4" s="63">
        <v>1292.0710000000001</v>
      </c>
      <c r="S4" s="63">
        <v>995.61792720306516</v>
      </c>
      <c r="T4" s="63">
        <v>1.158189219982267</v>
      </c>
      <c r="U4" s="62"/>
      <c r="V4" s="62">
        <f t="shared" si="0"/>
        <v>0.32372837476844563</v>
      </c>
    </row>
    <row r="5" spans="1:22">
      <c r="A5" s="62" t="s">
        <v>116</v>
      </c>
      <c r="B5" s="62" t="s">
        <v>117</v>
      </c>
      <c r="C5" s="63">
        <v>25.139999389648438</v>
      </c>
      <c r="D5" s="63">
        <v>7582.7931052499998</v>
      </c>
      <c r="E5" s="63">
        <v>3183.92704</v>
      </c>
      <c r="F5" s="63">
        <v>10689.339</v>
      </c>
      <c r="G5" s="63">
        <v>5.7971590742490653</v>
      </c>
      <c r="H5" s="63">
        <v>4.9395569046832799</v>
      </c>
      <c r="I5" s="63">
        <v>9.9944429023280286</v>
      </c>
      <c r="J5" s="63">
        <v>8.1798602799208666</v>
      </c>
      <c r="K5" s="63">
        <v>28.067140452590241</v>
      </c>
      <c r="L5" s="63">
        <v>50.233009708737868</v>
      </c>
      <c r="M5" s="63">
        <v>3.220491886138916</v>
      </c>
      <c r="N5" s="63">
        <v>850.56300799999997</v>
      </c>
      <c r="O5" s="63">
        <v>1095.1764705882354</v>
      </c>
      <c r="P5" s="63">
        <v>1338.2755842062854</v>
      </c>
      <c r="Q5" s="63">
        <v>-112.381</v>
      </c>
      <c r="R5" s="63">
        <v>153.13300000000001</v>
      </c>
      <c r="S5" s="63">
        <v>279.59192720306515</v>
      </c>
      <c r="T5" s="63">
        <v>1.103583063819459</v>
      </c>
      <c r="U5" s="62"/>
      <c r="V5" s="62">
        <f t="shared" si="0"/>
        <v>0.29571930885606484</v>
      </c>
    </row>
    <row r="6" spans="1:22">
      <c r="A6" s="62" t="s">
        <v>118</v>
      </c>
      <c r="B6" s="62" t="s">
        <v>119</v>
      </c>
      <c r="C6" s="63">
        <v>14.109999656677246</v>
      </c>
      <c r="D6" s="63">
        <v>11929.445860920003</v>
      </c>
      <c r="E6" s="63">
        <v>3577.2119039999998</v>
      </c>
      <c r="F6" s="63">
        <v>16346.771000000001</v>
      </c>
      <c r="G6" s="63">
        <v>2.9406542253129038</v>
      </c>
      <c r="H6" s="63">
        <v>2.8874575885966469</v>
      </c>
      <c r="I6" s="63">
        <v>3.9705115577273831</v>
      </c>
      <c r="J6" s="63">
        <v>4.049005654385601</v>
      </c>
      <c r="K6" s="63">
        <v>11.787466838296469</v>
      </c>
      <c r="L6" s="63">
        <v>11.317859952793075</v>
      </c>
      <c r="M6" s="63">
        <v>0.98033797740936313</v>
      </c>
      <c r="N6" s="63">
        <v>3684.890112</v>
      </c>
      <c r="O6" s="63">
        <v>3869.1428571428569</v>
      </c>
      <c r="P6" s="63">
        <v>3794.1448140900202</v>
      </c>
      <c r="Q6" s="63">
        <v>1177.430016</v>
      </c>
      <c r="R6" s="63">
        <v>1045.5910000000001</v>
      </c>
      <c r="S6" s="63">
        <v>973.33611877394628</v>
      </c>
      <c r="T6" s="63">
        <v>1.15992894703839</v>
      </c>
      <c r="U6" s="62"/>
      <c r="V6" s="62">
        <f t="shared" si="0"/>
        <v>0.23068877628115075</v>
      </c>
    </row>
    <row r="7" spans="1:22">
      <c r="A7" s="62" t="s">
        <v>120</v>
      </c>
      <c r="B7" s="62" t="s">
        <v>121</v>
      </c>
      <c r="C7" s="63">
        <v>37.419998168945312</v>
      </c>
      <c r="D7" s="63">
        <v>5161.3941482399996</v>
      </c>
      <c r="E7" s="63">
        <v>2773.7479680000001</v>
      </c>
      <c r="F7" s="63">
        <v>7760.2830000000004</v>
      </c>
      <c r="G7" s="63">
        <v>3.9256160525582833</v>
      </c>
      <c r="H7" s="63">
        <v>3.9112915007161946</v>
      </c>
      <c r="I7" s="63">
        <v>6.3968049444189505</v>
      </c>
      <c r="J7" s="63">
        <v>6.140366924380527</v>
      </c>
      <c r="K7" s="63">
        <v>15.209183588035518</v>
      </c>
      <c r="L7" s="63">
        <v>17.43963553530752</v>
      </c>
      <c r="M7" s="63">
        <v>2.7942969799041748</v>
      </c>
      <c r="N7" s="63">
        <v>996.81798400000002</v>
      </c>
      <c r="O7" s="63">
        <v>1213.8125</v>
      </c>
      <c r="P7" s="63">
        <v>1264.4991438356165</v>
      </c>
      <c r="Q7" s="63">
        <v>236</v>
      </c>
      <c r="R7" s="63">
        <v>361.5</v>
      </c>
      <c r="S7" s="63">
        <v>393.34101149425283</v>
      </c>
      <c r="T7" s="63">
        <v>0.80980968947503307</v>
      </c>
      <c r="U7" s="62"/>
      <c r="V7" s="62">
        <f t="shared" si="0"/>
        <v>0.34955239961276424</v>
      </c>
    </row>
    <row r="8" spans="1:22">
      <c r="A8" s="62" t="s">
        <v>122</v>
      </c>
      <c r="B8" s="62" t="s">
        <v>123</v>
      </c>
      <c r="C8" s="63">
        <v>25.840000152587891</v>
      </c>
      <c r="D8" s="63">
        <v>20096.560485039998</v>
      </c>
      <c r="E8" s="63">
        <v>4019.0000639999998</v>
      </c>
      <c r="F8" s="63">
        <v>23555.338000000003</v>
      </c>
      <c r="G8" s="63">
        <v>3.210229337170845</v>
      </c>
      <c r="H8" s="63">
        <v>3.0315848393666829</v>
      </c>
      <c r="I8" s="63">
        <v>5.0298762781972748</v>
      </c>
      <c r="J8" s="63">
        <v>4.6302421683277188</v>
      </c>
      <c r="K8" s="63">
        <v>10.244235930912957</v>
      </c>
      <c r="L8" s="63">
        <v>11.674038036267138</v>
      </c>
      <c r="M8" s="63">
        <v>0.91403198242187511</v>
      </c>
      <c r="N8" s="63">
        <v>3406.4399360000002</v>
      </c>
      <c r="O8" s="63">
        <v>4757.2857142857138</v>
      </c>
      <c r="P8" s="63">
        <v>5167.83757338552</v>
      </c>
      <c r="Q8" s="63">
        <v>1200.1500160000001</v>
      </c>
      <c r="R8" s="63">
        <v>1705.261</v>
      </c>
      <c r="S8" s="63">
        <v>1934.2433908045975</v>
      </c>
      <c r="T8" s="63">
        <v>0.78887897572371701</v>
      </c>
      <c r="U8" s="62"/>
      <c r="V8" s="62">
        <f t="shared" si="0"/>
        <v>0.16665588410550092</v>
      </c>
    </row>
    <row r="9" spans="1:22">
      <c r="A9" s="62" t="s">
        <v>124</v>
      </c>
      <c r="B9" s="62" t="s">
        <v>125</v>
      </c>
      <c r="C9" s="63">
        <v>35.819999694824219</v>
      </c>
      <c r="D9" s="63">
        <v>22908.996000000003</v>
      </c>
      <c r="E9" s="63">
        <v>7271.0000639999998</v>
      </c>
      <c r="F9" s="63">
        <v>29793.745999999999</v>
      </c>
      <c r="G9" s="63">
        <v>1.9584350972381326</v>
      </c>
      <c r="H9" s="63">
        <v>2.0764168278676367</v>
      </c>
      <c r="I9" s="63">
        <v>4.0523317493252486</v>
      </c>
      <c r="J9" s="63">
        <v>4.1338427081536446</v>
      </c>
      <c r="K9" s="63">
        <v>8.9505181067389117</v>
      </c>
      <c r="L9" s="63">
        <v>9.0508054522924422</v>
      </c>
      <c r="M9" s="63">
        <v>0.93626099824905407</v>
      </c>
      <c r="N9" s="63">
        <v>7538.5200640000003</v>
      </c>
      <c r="O9" s="63">
        <v>7447.5625</v>
      </c>
      <c r="P9" s="63">
        <v>7300.7294520547948</v>
      </c>
      <c r="Q9" s="63">
        <v>2961.5400960000002</v>
      </c>
      <c r="R9" s="63">
        <v>2558.7000000000003</v>
      </c>
      <c r="S9" s="63">
        <v>2506.8279233716476</v>
      </c>
      <c r="T9" s="63">
        <v>1.0494801022990541</v>
      </c>
      <c r="U9" s="62"/>
      <c r="V9" s="62">
        <f t="shared" si="0"/>
        <v>0.24092117336864605</v>
      </c>
    </row>
    <row r="10" spans="1:22">
      <c r="A10" s="62" t="s">
        <v>126</v>
      </c>
      <c r="B10" s="62" t="s">
        <v>127</v>
      </c>
      <c r="C10" s="63">
        <v>116.01000213623047</v>
      </c>
      <c r="D10" s="63">
        <v>28388.637033914998</v>
      </c>
      <c r="E10" s="63">
        <v>4522.9998079999996</v>
      </c>
      <c r="F10" s="63">
        <v>32503.405999999999</v>
      </c>
      <c r="G10" s="63">
        <v>2.8689380709730909</v>
      </c>
      <c r="H10" s="63">
        <v>2.7397824794101977</v>
      </c>
      <c r="I10" s="63">
        <v>6.6758085899504209</v>
      </c>
      <c r="J10" s="63">
        <v>5.3704973737517125</v>
      </c>
      <c r="K10" s="63">
        <v>12.68782303383961</v>
      </c>
      <c r="L10" s="63">
        <v>20.022677641525281</v>
      </c>
      <c r="M10" s="63">
        <v>1.0748569965362551</v>
      </c>
      <c r="N10" s="63">
        <v>2095.9600639999999</v>
      </c>
      <c r="O10" s="63">
        <v>4911.1111111111104</v>
      </c>
      <c r="P10" s="63">
        <v>6104.6290497934342</v>
      </c>
      <c r="Q10" s="63">
        <v>207.28700799999999</v>
      </c>
      <c r="R10" s="63">
        <v>1370.48</v>
      </c>
      <c r="S10" s="63">
        <v>2231.9713256704981</v>
      </c>
      <c r="T10" s="63">
        <v>0.83211298614183005</v>
      </c>
      <c r="U10" s="62"/>
      <c r="V10" s="62">
        <f t="shared" si="0"/>
        <v>0.1374285888521862</v>
      </c>
    </row>
    <row r="11" spans="1:22">
      <c r="A11" s="62" t="s">
        <v>128</v>
      </c>
      <c r="B11" s="62" t="s">
        <v>129</v>
      </c>
      <c r="C11" s="63">
        <v>56.759998321533203</v>
      </c>
      <c r="D11" s="63">
        <v>36799.483602399996</v>
      </c>
      <c r="E11" s="63">
        <v>7982.0861439999999</v>
      </c>
      <c r="F11" s="63">
        <v>48078.364999999998</v>
      </c>
      <c r="G11" s="63">
        <v>5.8055244041664791</v>
      </c>
      <c r="H11" s="63">
        <v>5.0631976868772464</v>
      </c>
      <c r="I11" s="63">
        <v>8.9587365545640107</v>
      </c>
      <c r="J11" s="63">
        <v>7.232918553584943</v>
      </c>
      <c r="K11" s="63">
        <v>13.360011389106388</v>
      </c>
      <c r="L11" s="63">
        <v>20.263642611683846</v>
      </c>
      <c r="M11" s="63">
        <v>1.4335930347442631</v>
      </c>
      <c r="N11" s="63">
        <v>3457.2001279999999</v>
      </c>
      <c r="O11" s="63">
        <v>5404.8076923076924</v>
      </c>
      <c r="P11" s="63">
        <v>6694.2779978925191</v>
      </c>
      <c r="Q11" s="63">
        <v>679.43500800000004</v>
      </c>
      <c r="R11" s="63">
        <v>1832.8700000000001</v>
      </c>
      <c r="S11" s="63">
        <v>2705.9081455938694</v>
      </c>
      <c r="T11" s="63">
        <v>0.93071323881303902</v>
      </c>
      <c r="U11" s="62"/>
      <c r="V11" s="62">
        <f t="shared" si="0"/>
        <v>0.17824489380794165</v>
      </c>
    </row>
    <row r="12" spans="1:22">
      <c r="A12" s="62" t="s">
        <v>130</v>
      </c>
      <c r="B12" s="62" t="s">
        <v>131</v>
      </c>
      <c r="C12" s="63">
        <v>147.02000427246094</v>
      </c>
      <c r="D12" s="63">
        <v>42849.905573699994</v>
      </c>
      <c r="E12" s="63">
        <v>16083.000319999999</v>
      </c>
      <c r="F12" s="63">
        <v>63622.073000000004</v>
      </c>
      <c r="G12" s="63">
        <v>4.4680883613837707</v>
      </c>
      <c r="H12" s="63">
        <v>4.6305386848937182</v>
      </c>
      <c r="I12" s="63">
        <v>6.5048021401434761</v>
      </c>
      <c r="J12" s="63">
        <v>6.6696185240082642</v>
      </c>
      <c r="K12" s="63">
        <v>12.712326438250564</v>
      </c>
      <c r="L12" s="63">
        <v>11.510043869776034</v>
      </c>
      <c r="M12" s="63">
        <v>1.55271303653717</v>
      </c>
      <c r="N12" s="63">
        <v>7363.4001920000001</v>
      </c>
      <c r="O12" s="63">
        <v>10066.241379310344</v>
      </c>
      <c r="P12" s="63">
        <v>9817.5177137458686</v>
      </c>
      <c r="Q12" s="63">
        <v>3303.6300799999999</v>
      </c>
      <c r="R12" s="63">
        <v>3793.1849999999999</v>
      </c>
      <c r="S12" s="63">
        <v>3339.102011494253</v>
      </c>
      <c r="T12" s="63">
        <v>0.97279572122732505</v>
      </c>
      <c r="U12" s="62"/>
      <c r="V12" s="62">
        <f t="shared" si="0"/>
        <v>0.27290356849210268</v>
      </c>
    </row>
    <row r="13" spans="1:22">
      <c r="A13" s="62" t="s">
        <v>132</v>
      </c>
      <c r="B13" s="62" t="s">
        <v>133</v>
      </c>
      <c r="C13" s="63">
        <v>86.620002746582031</v>
      </c>
      <c r="D13" s="63">
        <v>107754.60960000001</v>
      </c>
      <c r="E13" s="63">
        <v>17226.000383999999</v>
      </c>
      <c r="F13" s="63">
        <v>124785.181</v>
      </c>
      <c r="G13" s="63">
        <v>2.0860243260829012</v>
      </c>
      <c r="H13" s="63">
        <v>2.2769625096617401</v>
      </c>
      <c r="I13" s="63">
        <v>4.9012484436121921</v>
      </c>
      <c r="J13" s="63">
        <v>5.127762054356344</v>
      </c>
      <c r="K13" s="63">
        <v>13.842911492879105</v>
      </c>
      <c r="L13" s="63">
        <v>13.454713778737849</v>
      </c>
      <c r="M13" s="63">
        <v>0.71715199947357211</v>
      </c>
      <c r="N13" s="63">
        <v>24906.19904</v>
      </c>
      <c r="O13" s="63">
        <v>25499.75</v>
      </c>
      <c r="P13" s="63">
        <v>24373.455479452055</v>
      </c>
      <c r="Q13" s="63">
        <v>9220.2895360000002</v>
      </c>
      <c r="R13" s="63">
        <v>8152.643</v>
      </c>
      <c r="S13" s="63">
        <v>7437.4092835249048</v>
      </c>
      <c r="T13" s="63">
        <v>0.84169962923564912</v>
      </c>
      <c r="U13" s="62"/>
      <c r="V13" s="62">
        <f t="shared" si="0"/>
        <v>0.13782938318356158</v>
      </c>
    </row>
    <row r="15" spans="1:22">
      <c r="J15" s="216">
        <f>AVERAGE(J3:J13)</f>
        <v>5.5334750789749831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6F0E-FC7F-4749-927F-CA1B0ABFD9FE}">
  <dimension ref="A1:AH128"/>
  <sheetViews>
    <sheetView topLeftCell="G1" zoomScale="150" zoomScaleNormal="60" workbookViewId="0">
      <selection activeCell="O16" sqref="O16"/>
    </sheetView>
  </sheetViews>
  <sheetFormatPr baseColWidth="10" defaultColWidth="9.1640625" defaultRowHeight="15"/>
  <cols>
    <col min="1" max="3" width="2.6640625" style="22" customWidth="1"/>
    <col min="4" max="7" width="9.1640625" style="22"/>
    <col min="8" max="9" width="11.5" style="22" bestFit="1" customWidth="1"/>
    <col min="10" max="14" width="9.1640625" style="22"/>
    <col min="15" max="19" width="9.33203125" style="22" bestFit="1" customWidth="1"/>
    <col min="20" max="16384" width="9.1640625" style="22"/>
  </cols>
  <sheetData>
    <row r="1" spans="1:3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  <c r="AH1" s="30"/>
    </row>
    <row r="2" spans="1:34" ht="19">
      <c r="A2" s="29"/>
      <c r="B2" s="29"/>
      <c r="C2" s="29"/>
      <c r="D2" s="29"/>
      <c r="E2" s="29"/>
      <c r="F2" s="29"/>
      <c r="G2" s="31" t="str">
        <f>Cover!C5</f>
        <v>Net Asset Value Model - Range Resources Corp. (NYSE:RRC)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29"/>
      <c r="AB2" s="29"/>
      <c r="AC2" s="29"/>
      <c r="AD2" s="29"/>
      <c r="AE2" s="29"/>
      <c r="AF2" s="29"/>
      <c r="AG2" s="30"/>
      <c r="AH2" s="30"/>
    </row>
    <row r="3" spans="1:34">
      <c r="A3" s="29"/>
      <c r="B3" s="29"/>
      <c r="C3" s="29"/>
      <c r="D3" s="29"/>
      <c r="E3" s="29"/>
      <c r="F3" s="29"/>
      <c r="G3" s="33" t="s">
        <v>92</v>
      </c>
      <c r="H3" s="29"/>
      <c r="I3" s="29"/>
      <c r="J3" s="29"/>
      <c r="K3" s="29"/>
      <c r="L3" s="29"/>
      <c r="M3" s="29"/>
      <c r="N3" s="29"/>
      <c r="O3" s="202">
        <v>2025</v>
      </c>
      <c r="P3" s="202">
        <v>2026</v>
      </c>
      <c r="Q3" s="202">
        <f>P3+1</f>
        <v>2027</v>
      </c>
      <c r="R3" s="202">
        <f t="shared" ref="R3:S3" si="0">Q3+1</f>
        <v>2028</v>
      </c>
      <c r="S3" s="202">
        <f t="shared" si="0"/>
        <v>2029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  <c r="AH3" s="30"/>
    </row>
    <row r="4" spans="1:3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  <c r="AH4" s="30"/>
    </row>
    <row r="5" spans="1:34">
      <c r="A5" s="29"/>
      <c r="B5" s="29"/>
      <c r="C5" s="29"/>
      <c r="D5" s="29"/>
      <c r="E5" s="29"/>
      <c r="F5" s="29"/>
      <c r="G5" s="171" t="s">
        <v>19</v>
      </c>
      <c r="H5" s="30"/>
      <c r="I5" s="29"/>
      <c r="J5" s="30"/>
      <c r="K5" s="171" t="str" cm="1">
        <f t="array" ref="K5">_xlfn.IFS('Inputs &amp; Assumptions'!L37= 1,"Street", 'Inputs &amp; Assumptions'!L37=2,"Bear",'Inputs &amp; Assumptions'!L37=3,"Base",'Inputs &amp; Assumptions'!L37=4,"Bull")</f>
        <v>Street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>
      <c r="A6" s="29"/>
      <c r="B6" s="29"/>
      <c r="C6" s="29"/>
      <c r="D6" s="171"/>
      <c r="E6" s="17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8" spans="1:34">
      <c r="B8" s="37" t="s">
        <v>20</v>
      </c>
      <c r="C8" s="36" t="s">
        <v>181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10" spans="1:34">
      <c r="F10" s="64" t="s">
        <v>182</v>
      </c>
      <c r="G10" s="65"/>
      <c r="H10" s="66">
        <f>'Inputs &amp; Assumptions'!L37</f>
        <v>1</v>
      </c>
      <c r="I10" s="65" t="str" cm="1">
        <f t="array" ref="I10">_xlfn.IFS(H10= 1,"Street", H10=2,"Bear",H10=3,"Base",H10=4,"Bull")</f>
        <v>Street</v>
      </c>
      <c r="J10" s="65"/>
      <c r="K10" s="65"/>
      <c r="L10" s="67"/>
      <c r="M10" s="67"/>
      <c r="N10" s="67"/>
      <c r="O10" s="143">
        <f ca="1">OFFSET(O12,$H10,0)</f>
        <v>3.5</v>
      </c>
      <c r="P10" s="143">
        <f t="shared" ref="P10:S10" ca="1" si="1">OFFSET(P12,$H10,0)</f>
        <v>3.84</v>
      </c>
      <c r="Q10" s="143">
        <f t="shared" ca="1" si="1"/>
        <v>3.8499999999999996</v>
      </c>
      <c r="R10" s="143">
        <f t="shared" ca="1" si="1"/>
        <v>3.8099999999999996</v>
      </c>
      <c r="S10" s="143">
        <f t="shared" ca="1" si="1"/>
        <v>3.84</v>
      </c>
    </row>
    <row r="11" spans="1:34">
      <c r="F11" s="68"/>
      <c r="L11" s="69"/>
      <c r="M11" s="69"/>
      <c r="N11" s="69"/>
      <c r="O11" s="69"/>
      <c r="P11" s="69"/>
      <c r="Q11" s="69"/>
      <c r="R11" s="69"/>
      <c r="S11" s="69"/>
    </row>
    <row r="12" spans="1:34">
      <c r="G12" s="70"/>
      <c r="H12" s="70" t="s">
        <v>183</v>
      </c>
      <c r="I12" s="70"/>
      <c r="J12" s="70"/>
      <c r="L12" s="69"/>
      <c r="M12" s="69"/>
      <c r="N12" s="69"/>
      <c r="O12" s="71"/>
      <c r="P12" s="69"/>
      <c r="Q12" s="69"/>
      <c r="R12" s="72"/>
      <c r="S12" s="69"/>
    </row>
    <row r="13" spans="1:34">
      <c r="F13" s="73" t="s">
        <v>184</v>
      </c>
      <c r="G13" s="74"/>
      <c r="H13" s="74" t="s">
        <v>72</v>
      </c>
      <c r="I13" s="75"/>
      <c r="J13" s="75"/>
      <c r="K13" s="76"/>
      <c r="L13" s="76"/>
      <c r="M13" s="76"/>
      <c r="N13" s="76"/>
      <c r="O13" s="77">
        <f>O15</f>
        <v>3.5</v>
      </c>
      <c r="P13" s="77">
        <f t="shared" ref="P13:S13" si="2">P15</f>
        <v>3.84</v>
      </c>
      <c r="Q13" s="77">
        <f t="shared" si="2"/>
        <v>3.8499999999999996</v>
      </c>
      <c r="R13" s="77">
        <f t="shared" si="2"/>
        <v>3.8099999999999996</v>
      </c>
      <c r="S13" s="78">
        <f t="shared" si="2"/>
        <v>3.84</v>
      </c>
    </row>
    <row r="14" spans="1:34">
      <c r="F14" s="79" t="s">
        <v>185</v>
      </c>
      <c r="G14" s="70"/>
      <c r="H14" s="145" t="s">
        <v>72</v>
      </c>
      <c r="I14" s="80"/>
      <c r="J14" s="80"/>
      <c r="O14" s="81">
        <f>O15-U14</f>
        <v>2.67</v>
      </c>
      <c r="P14" s="81">
        <f t="shared" ref="P14:S14" si="3">P15-V14</f>
        <v>2.67</v>
      </c>
      <c r="Q14" s="81">
        <f t="shared" si="3"/>
        <v>2.67</v>
      </c>
      <c r="R14" s="81">
        <f t="shared" si="3"/>
        <v>2.7</v>
      </c>
      <c r="S14" s="259">
        <f t="shared" si="3"/>
        <v>2.7500000000000004</v>
      </c>
      <c r="U14" s="260">
        <v>0.83000000000000007</v>
      </c>
      <c r="V14" s="260">
        <v>1.17</v>
      </c>
      <c r="W14" s="260">
        <v>1.1799999999999997</v>
      </c>
      <c r="X14" s="260">
        <v>1.1099999999999994</v>
      </c>
      <c r="Y14" s="260">
        <v>1.0899999999999994</v>
      </c>
      <c r="Z14" s="166"/>
    </row>
    <row r="15" spans="1:34">
      <c r="F15" s="79" t="s">
        <v>186</v>
      </c>
      <c r="G15" s="70"/>
      <c r="H15" s="145" t="s">
        <v>72</v>
      </c>
      <c r="I15" s="80"/>
      <c r="J15" s="80"/>
      <c r="O15" s="81">
        <f>3.5</f>
        <v>3.5</v>
      </c>
      <c r="P15" s="81">
        <f>O15+0.34</f>
        <v>3.84</v>
      </c>
      <c r="Q15" s="81">
        <f>P15+0.01</f>
        <v>3.8499999999999996</v>
      </c>
      <c r="R15" s="81">
        <f>Q15-0.04</f>
        <v>3.8099999999999996</v>
      </c>
      <c r="S15" s="82">
        <f>NAV!AU39</f>
        <v>3.84</v>
      </c>
      <c r="U15" s="166"/>
      <c r="V15" s="166"/>
      <c r="W15" s="166"/>
      <c r="X15" s="166"/>
      <c r="Y15" s="166"/>
      <c r="Z15" s="166"/>
    </row>
    <row r="16" spans="1:34" ht="16.5" customHeight="1">
      <c r="F16" s="83" t="s">
        <v>187</v>
      </c>
      <c r="G16" s="84"/>
      <c r="H16" s="146" t="s">
        <v>72</v>
      </c>
      <c r="I16" s="85"/>
      <c r="J16" s="85"/>
      <c r="K16" s="65"/>
      <c r="L16" s="65"/>
      <c r="M16" s="65"/>
      <c r="N16" s="65"/>
      <c r="O16" s="86">
        <f>O15+0.2</f>
        <v>3.7</v>
      </c>
      <c r="P16" s="86">
        <f>P15+0.02</f>
        <v>3.86</v>
      </c>
      <c r="Q16" s="86">
        <f>Q15+0.22</f>
        <v>4.0699999999999994</v>
      </c>
      <c r="R16" s="86">
        <f>R15+0.34</f>
        <v>4.1499999999999995</v>
      </c>
      <c r="S16" s="87">
        <f>S15+0.56</f>
        <v>4.4000000000000004</v>
      </c>
    </row>
    <row r="20" spans="2:34">
      <c r="B20" s="37" t="s">
        <v>188</v>
      </c>
      <c r="C20" s="36" t="s">
        <v>189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3" spans="2:34">
      <c r="F23" s="64" t="s">
        <v>190</v>
      </c>
      <c r="G23" s="65"/>
      <c r="H23" s="66">
        <f>'Inputs &amp; Assumptions'!L37</f>
        <v>1</v>
      </c>
      <c r="I23" s="65" t="str" cm="1">
        <f t="array" ref="I23">_xlfn.IFS(H23= 1,"Street", H23=2,"Bear",H23=3,"Base",H23=4,"Bull")</f>
        <v>Street</v>
      </c>
      <c r="J23" s="65"/>
      <c r="K23" s="65"/>
      <c r="L23" s="67"/>
      <c r="M23" s="67"/>
      <c r="N23" s="67"/>
      <c r="O23" s="143">
        <f ca="1">OFFSET(O25,$H23,0)</f>
        <v>64.742800000000003</v>
      </c>
      <c r="P23" s="143">
        <f t="shared" ref="P23:S23" ca="1" si="4">OFFSET(P25,$H23,0)</f>
        <v>58.755600000000001</v>
      </c>
      <c r="Q23" s="143">
        <f t="shared" ca="1" si="4"/>
        <v>63.66</v>
      </c>
      <c r="R23" s="143">
        <f t="shared" ca="1" si="4"/>
        <v>67.539199999999994</v>
      </c>
      <c r="S23" s="143">
        <f t="shared" ca="1" si="4"/>
        <v>69.178899999999999</v>
      </c>
    </row>
    <row r="24" spans="2:34">
      <c r="F24" s="68"/>
      <c r="L24" s="69"/>
      <c r="M24" s="69"/>
      <c r="N24" s="69"/>
      <c r="O24" s="69"/>
      <c r="P24" s="69"/>
      <c r="Q24" s="69"/>
      <c r="R24" s="69"/>
      <c r="S24" s="69"/>
    </row>
    <row r="25" spans="2:34">
      <c r="G25" s="70"/>
      <c r="H25" s="70" t="s">
        <v>183</v>
      </c>
      <c r="I25" s="70"/>
      <c r="J25" s="70"/>
      <c r="L25" s="69"/>
      <c r="M25" s="69"/>
      <c r="N25" s="69"/>
      <c r="O25" s="71"/>
      <c r="P25" s="69"/>
      <c r="Q25" s="69"/>
      <c r="R25" s="72"/>
      <c r="S25" s="69"/>
    </row>
    <row r="26" spans="2:34">
      <c r="F26" s="73" t="s">
        <v>184</v>
      </c>
      <c r="G26" s="74"/>
      <c r="H26" s="164" t="s">
        <v>191</v>
      </c>
      <c r="I26" s="75"/>
      <c r="J26" s="75"/>
      <c r="K26" s="76"/>
      <c r="L26" s="76"/>
      <c r="M26" s="76"/>
      <c r="N26" s="76"/>
      <c r="O26" s="77">
        <f>O28</f>
        <v>64.742800000000003</v>
      </c>
      <c r="P26" s="77">
        <f t="shared" ref="P26:S26" si="5">P28</f>
        <v>58.755600000000001</v>
      </c>
      <c r="Q26" s="77">
        <f t="shared" si="5"/>
        <v>63.66</v>
      </c>
      <c r="R26" s="77">
        <f t="shared" si="5"/>
        <v>67.539199999999994</v>
      </c>
      <c r="S26" s="261">
        <f t="shared" si="5"/>
        <v>69.178899999999999</v>
      </c>
    </row>
    <row r="27" spans="2:34">
      <c r="F27" s="79" t="s">
        <v>185</v>
      </c>
      <c r="G27" s="70"/>
      <c r="H27" s="145" t="s">
        <v>191</v>
      </c>
      <c r="I27" s="80"/>
      <c r="J27" s="80"/>
      <c r="O27" s="147">
        <f>O28+W27</f>
        <v>63.89</v>
      </c>
      <c r="P27" s="147">
        <f t="shared" ref="P27:S27" si="6">P28+X27</f>
        <v>54.005600000000001</v>
      </c>
      <c r="Q27" s="147">
        <f t="shared" si="6"/>
        <v>58.91</v>
      </c>
      <c r="R27" s="147">
        <f t="shared" si="6"/>
        <v>62.45</v>
      </c>
      <c r="S27" s="262">
        <f t="shared" si="6"/>
        <v>66.122</v>
      </c>
      <c r="W27" s="216">
        <v>-0.852800000000002</v>
      </c>
      <c r="X27" s="216">
        <v>-4.75</v>
      </c>
      <c r="Y27" s="216">
        <v>-4.75</v>
      </c>
      <c r="Z27" s="216">
        <v>-5.0891999999999911</v>
      </c>
      <c r="AA27" s="216">
        <v>-3.0568999999999988</v>
      </c>
      <c r="AB27" s="216"/>
      <c r="AC27" s="216"/>
    </row>
    <row r="28" spans="2:34">
      <c r="F28" s="79" t="s">
        <v>186</v>
      </c>
      <c r="G28" s="70"/>
      <c r="H28" s="145" t="s">
        <v>191</v>
      </c>
      <c r="I28" s="80"/>
      <c r="J28" s="80"/>
      <c r="O28" s="147">
        <v>64.742800000000003</v>
      </c>
      <c r="P28" s="147">
        <f>O28+X28</f>
        <v>58.755600000000001</v>
      </c>
      <c r="Q28" s="147">
        <f t="shared" ref="Q28:S28" si="7">P28+Y28</f>
        <v>63.66</v>
      </c>
      <c r="R28" s="147">
        <f t="shared" si="7"/>
        <v>67.539199999999994</v>
      </c>
      <c r="S28" s="262">
        <f t="shared" si="7"/>
        <v>69.178899999999999</v>
      </c>
      <c r="X28" s="216">
        <v>-5.9872000000000014</v>
      </c>
      <c r="Y28" s="216">
        <v>4.9043999999999954</v>
      </c>
      <c r="Z28" s="216">
        <v>3.8791999999999973</v>
      </c>
      <c r="AA28" s="216">
        <v>1.6397000000000048</v>
      </c>
    </row>
    <row r="29" spans="2:34">
      <c r="F29" s="83" t="s">
        <v>187</v>
      </c>
      <c r="G29" s="84"/>
      <c r="H29" s="146" t="s">
        <v>191</v>
      </c>
      <c r="I29" s="85"/>
      <c r="J29" s="85"/>
      <c r="K29" s="65"/>
      <c r="L29" s="65"/>
      <c r="M29" s="65"/>
      <c r="N29" s="65"/>
      <c r="O29" s="149">
        <f>O28+W29</f>
        <v>67.861999999999995</v>
      </c>
      <c r="P29" s="149">
        <f t="shared" ref="P29:S29" si="8">P28+X29</f>
        <v>63.7</v>
      </c>
      <c r="Q29" s="149">
        <f t="shared" si="8"/>
        <v>67.67</v>
      </c>
      <c r="R29" s="149">
        <f t="shared" si="8"/>
        <v>72.701999999999998</v>
      </c>
      <c r="S29" s="263">
        <f t="shared" si="8"/>
        <v>71.421999999999997</v>
      </c>
      <c r="W29" s="216">
        <v>3.1191999999999922</v>
      </c>
      <c r="X29" s="216">
        <v>4.9444000000000017</v>
      </c>
      <c r="Y29" s="216">
        <v>4.0100000000000051</v>
      </c>
      <c r="Z29" s="216">
        <v>5.1628000000000043</v>
      </c>
      <c r="AA29" s="216">
        <v>2.2430999999999983</v>
      </c>
      <c r="AB29" s="216"/>
      <c r="AC29" s="216"/>
    </row>
    <row r="33" spans="2:34">
      <c r="B33" s="37" t="s">
        <v>192</v>
      </c>
      <c r="C33" s="36" t="s">
        <v>193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5" spans="2:34">
      <c r="C35" s="38" t="s">
        <v>21</v>
      </c>
      <c r="D35" s="38" t="s">
        <v>194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</row>
    <row r="38" spans="2:34">
      <c r="F38" s="64" t="s">
        <v>195</v>
      </c>
      <c r="G38" s="65"/>
      <c r="H38" s="66">
        <f>'Inputs &amp; Assumptions'!L37</f>
        <v>1</v>
      </c>
      <c r="I38" s="65" t="str" cm="1">
        <f t="array" ref="I38">_xlfn.IFS(H38= 1,"Street", H38=2,"Bear",H38=3,"Base",H38=4,"Bull")</f>
        <v>Street</v>
      </c>
      <c r="J38" s="65"/>
      <c r="K38" s="65" t="s">
        <v>196</v>
      </c>
      <c r="L38" s="67">
        <v>0.08</v>
      </c>
      <c r="M38" s="67"/>
      <c r="N38" s="67"/>
      <c r="O38" s="143">
        <f ca="1">OFFSET(O40,$H38,0)</f>
        <v>650.54330000000004</v>
      </c>
      <c r="P38" s="143">
        <f ca="1">OFFSET(P40,$H38,0)</f>
        <v>623.1</v>
      </c>
      <c r="Q38" s="143">
        <f ca="1">OFFSET(Q40,$H38,0)</f>
        <v>643.96</v>
      </c>
      <c r="R38" s="143">
        <f ca="1">OFFSET(R40,$H38,0)</f>
        <v>661.19</v>
      </c>
      <c r="S38" s="143">
        <f ca="1">OFFSET(S40,$H38,0)</f>
        <v>679.35</v>
      </c>
    </row>
    <row r="39" spans="2:34">
      <c r="F39" s="68"/>
      <c r="L39" s="69"/>
      <c r="M39" s="69"/>
      <c r="N39" s="69"/>
      <c r="O39" s="69"/>
      <c r="P39" s="69"/>
      <c r="Q39" s="69"/>
      <c r="R39" s="69"/>
      <c r="S39" s="69"/>
    </row>
    <row r="40" spans="2:34">
      <c r="G40" s="70"/>
      <c r="H40" s="70" t="s">
        <v>183</v>
      </c>
      <c r="I40" s="70"/>
      <c r="J40" s="70"/>
      <c r="L40" s="69"/>
      <c r="M40" s="69"/>
      <c r="N40" s="69"/>
      <c r="O40" s="71"/>
      <c r="P40" s="69"/>
      <c r="Q40" s="69"/>
      <c r="R40" s="72"/>
      <c r="S40" s="69"/>
    </row>
    <row r="41" spans="2:34">
      <c r="F41" s="73" t="s">
        <v>184</v>
      </c>
      <c r="G41" s="74"/>
      <c r="H41" s="164" t="s">
        <v>197</v>
      </c>
      <c r="I41" s="75"/>
      <c r="J41" s="75"/>
      <c r="K41" s="76"/>
      <c r="L41" s="76"/>
      <c r="M41" s="76"/>
      <c r="N41" s="76"/>
      <c r="O41" s="77">
        <f>O43</f>
        <v>650.54330000000004</v>
      </c>
      <c r="P41" s="77">
        <f t="shared" ref="P41:S41" si="9">P43</f>
        <v>623.1</v>
      </c>
      <c r="Q41" s="77">
        <f t="shared" si="9"/>
        <v>643.96</v>
      </c>
      <c r="R41" s="77">
        <f t="shared" si="9"/>
        <v>661.19</v>
      </c>
      <c r="S41" s="78">
        <f t="shared" si="9"/>
        <v>679.35</v>
      </c>
    </row>
    <row r="42" spans="2:34">
      <c r="F42" s="79" t="s">
        <v>185</v>
      </c>
      <c r="G42" s="70"/>
      <c r="H42" s="145" t="s">
        <v>197</v>
      </c>
      <c r="I42" s="80"/>
      <c r="J42" s="80"/>
      <c r="O42" s="147">
        <f>O43-20</f>
        <v>630.54330000000004</v>
      </c>
      <c r="P42" s="147">
        <f t="shared" ref="P42:S42" si="10">P43-20</f>
        <v>603.1</v>
      </c>
      <c r="Q42" s="147">
        <f t="shared" si="10"/>
        <v>623.96</v>
      </c>
      <c r="R42" s="147">
        <f t="shared" si="10"/>
        <v>641.19000000000005</v>
      </c>
      <c r="S42" s="148">
        <f t="shared" si="10"/>
        <v>659.35</v>
      </c>
    </row>
    <row r="43" spans="2:34">
      <c r="F43" s="79" t="s">
        <v>186</v>
      </c>
      <c r="G43" s="70"/>
      <c r="H43" s="145" t="s">
        <v>197</v>
      </c>
      <c r="I43" s="80"/>
      <c r="J43" s="80"/>
      <c r="O43" s="147">
        <v>650.54330000000004</v>
      </c>
      <c r="P43" s="147">
        <v>623.1</v>
      </c>
      <c r="Q43" s="147">
        <v>643.96</v>
      </c>
      <c r="R43" s="147">
        <v>661.19</v>
      </c>
      <c r="S43" s="148">
        <v>679.35</v>
      </c>
      <c r="T43" s="144"/>
    </row>
    <row r="44" spans="2:34">
      <c r="F44" s="83" t="s">
        <v>187</v>
      </c>
      <c r="G44" s="84"/>
      <c r="H44" s="146" t="s">
        <v>197</v>
      </c>
      <c r="I44" s="85"/>
      <c r="J44" s="85"/>
      <c r="K44" s="65"/>
      <c r="L44" s="65"/>
      <c r="M44" s="65"/>
      <c r="N44" s="65"/>
      <c r="O44" s="149">
        <f>O43+20</f>
        <v>670.54330000000004</v>
      </c>
      <c r="P44" s="149">
        <f t="shared" ref="P44:S44" si="11">P43+20</f>
        <v>643.1</v>
      </c>
      <c r="Q44" s="149">
        <f t="shared" si="11"/>
        <v>663.96</v>
      </c>
      <c r="R44" s="149">
        <f t="shared" si="11"/>
        <v>681.19</v>
      </c>
      <c r="S44" s="150">
        <f t="shared" si="11"/>
        <v>699.35</v>
      </c>
    </row>
    <row r="45" spans="2:34">
      <c r="F45" s="162"/>
      <c r="G45" s="70"/>
      <c r="H45" s="163"/>
      <c r="I45" s="80"/>
      <c r="J45" s="80"/>
      <c r="O45" s="147"/>
      <c r="P45" s="147"/>
      <c r="Q45" s="147"/>
      <c r="R45" s="147"/>
      <c r="S45" s="147"/>
    </row>
    <row r="46" spans="2:34">
      <c r="F46" s="162"/>
      <c r="G46" s="70"/>
      <c r="H46" s="163"/>
      <c r="I46" s="80"/>
      <c r="J46" s="80"/>
      <c r="O46" s="147"/>
      <c r="P46" s="147"/>
      <c r="Q46" s="147"/>
      <c r="R46" s="147"/>
      <c r="S46" s="147"/>
    </row>
    <row r="47" spans="2:34">
      <c r="F47" s="64" t="s">
        <v>195</v>
      </c>
      <c r="G47" s="65"/>
      <c r="H47" s="66">
        <f>'Inputs &amp; Assumptions'!L37</f>
        <v>1</v>
      </c>
      <c r="I47" s="65" t="str" cm="1">
        <f t="array" ref="I47">_xlfn.IFS(H47= 1,"Street", H47=2,"Bear",H47=3,"Base",H47=4,"Bull")</f>
        <v>Street</v>
      </c>
      <c r="J47" s="65"/>
      <c r="K47" s="65"/>
      <c r="L47" s="67"/>
      <c r="M47" s="67"/>
      <c r="N47" s="67"/>
      <c r="O47" s="143">
        <f ca="1">OFFSET(O49,$H47,0)</f>
        <v>56.081318965517248</v>
      </c>
      <c r="P47" s="143">
        <f ca="1">OFFSET(P49,$H47,0)</f>
        <v>53.715517241379317</v>
      </c>
      <c r="Q47" s="143">
        <f ca="1">OFFSET(Q49,$H47,0)</f>
        <v>55.513793103448279</v>
      </c>
      <c r="R47" s="143">
        <f ca="1">OFFSET(R49,$H47,0)</f>
        <v>56.99913793103449</v>
      </c>
      <c r="S47" s="143">
        <f ca="1">OFFSET(S49,$H47,0)</f>
        <v>58.564655172413794</v>
      </c>
    </row>
    <row r="48" spans="2:34">
      <c r="F48" s="68"/>
      <c r="L48" s="69"/>
      <c r="M48" s="69"/>
      <c r="N48" s="69"/>
      <c r="O48" s="69"/>
      <c r="P48" s="69"/>
      <c r="Q48" s="69"/>
      <c r="R48" s="69"/>
      <c r="S48" s="69"/>
    </row>
    <row r="49" spans="3:34">
      <c r="G49" s="70"/>
      <c r="H49" s="70" t="s">
        <v>183</v>
      </c>
      <c r="I49" s="70"/>
      <c r="J49" s="70"/>
      <c r="L49" s="69"/>
      <c r="M49" s="69"/>
      <c r="N49" s="69"/>
      <c r="O49" s="71"/>
      <c r="P49" s="69"/>
      <c r="Q49" s="69"/>
      <c r="R49" s="72"/>
      <c r="S49" s="69"/>
    </row>
    <row r="50" spans="3:34">
      <c r="F50" s="73" t="s">
        <v>184</v>
      </c>
      <c r="G50" s="74"/>
      <c r="H50" s="164" t="s">
        <v>191</v>
      </c>
      <c r="I50" s="75"/>
      <c r="J50" s="75"/>
      <c r="K50" s="76"/>
      <c r="L50" s="76"/>
      <c r="M50" s="76"/>
      <c r="N50" s="76"/>
      <c r="O50" s="77">
        <f>O52</f>
        <v>56.081318965517248</v>
      </c>
      <c r="P50" s="77">
        <f t="shared" ref="P50:S50" si="12">P52</f>
        <v>53.715517241379317</v>
      </c>
      <c r="Q50" s="77">
        <f t="shared" si="12"/>
        <v>55.513793103448279</v>
      </c>
      <c r="R50" s="77">
        <f t="shared" si="12"/>
        <v>56.99913793103449</v>
      </c>
      <c r="S50" s="78">
        <f t="shared" si="12"/>
        <v>58.564655172413794</v>
      </c>
    </row>
    <row r="51" spans="3:34">
      <c r="F51" s="79" t="s">
        <v>185</v>
      </c>
      <c r="G51" s="70"/>
      <c r="H51" s="145" t="s">
        <v>191</v>
      </c>
      <c r="I51" s="80"/>
      <c r="J51" s="80"/>
      <c r="O51" s="147">
        <f>O52-2</f>
        <v>54.081318965517248</v>
      </c>
      <c r="P51" s="147">
        <f t="shared" ref="P51:S51" si="13">P52-2</f>
        <v>51.715517241379317</v>
      </c>
      <c r="Q51" s="147">
        <f t="shared" si="13"/>
        <v>53.513793103448279</v>
      </c>
      <c r="R51" s="147">
        <f t="shared" si="13"/>
        <v>54.99913793103449</v>
      </c>
      <c r="S51" s="148">
        <f t="shared" si="13"/>
        <v>56.564655172413794</v>
      </c>
    </row>
    <row r="52" spans="3:34">
      <c r="F52" s="79" t="s">
        <v>186</v>
      </c>
      <c r="G52" s="70"/>
      <c r="H52" s="145" t="s">
        <v>191</v>
      </c>
      <c r="I52" s="80"/>
      <c r="J52" s="80"/>
      <c r="O52" s="147">
        <f>O43/11.6*(1+NAV!AU49)</f>
        <v>56.081318965517248</v>
      </c>
      <c r="P52" s="147">
        <f>O52+U52</f>
        <v>53.715517241379317</v>
      </c>
      <c r="Q52" s="147">
        <f t="shared" ref="Q52:S52" si="14">P52+V52</f>
        <v>55.513793103448279</v>
      </c>
      <c r="R52" s="147">
        <f t="shared" si="14"/>
        <v>56.99913793103449</v>
      </c>
      <c r="S52" s="147">
        <f t="shared" si="14"/>
        <v>58.564655172413794</v>
      </c>
      <c r="U52" s="264">
        <v>-2.3658017241379312</v>
      </c>
      <c r="V52" s="264">
        <v>1.7982758620689623</v>
      </c>
      <c r="W52" s="264">
        <v>1.4853448275862107</v>
      </c>
      <c r="X52" s="264">
        <v>1.5655172413793039</v>
      </c>
    </row>
    <row r="53" spans="3:34">
      <c r="F53" s="83" t="s">
        <v>187</v>
      </c>
      <c r="G53" s="84"/>
      <c r="H53" s="146" t="s">
        <v>191</v>
      </c>
      <c r="I53" s="85"/>
      <c r="J53" s="85"/>
      <c r="K53" s="65"/>
      <c r="L53" s="65"/>
      <c r="M53" s="65"/>
      <c r="N53" s="65"/>
      <c r="O53" s="149">
        <f>O52+2</f>
        <v>58.081318965517248</v>
      </c>
      <c r="P53" s="149">
        <f t="shared" ref="P53:S53" si="15">P52+2</f>
        <v>55.715517241379317</v>
      </c>
      <c r="Q53" s="149">
        <f t="shared" si="15"/>
        <v>57.513793103448279</v>
      </c>
      <c r="R53" s="149">
        <f t="shared" si="15"/>
        <v>58.99913793103449</v>
      </c>
      <c r="S53" s="150">
        <f t="shared" si="15"/>
        <v>60.564655172413794</v>
      </c>
    </row>
    <row r="56" spans="3:34">
      <c r="C56" s="38" t="s">
        <v>198</v>
      </c>
      <c r="D56" s="38" t="s">
        <v>199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</row>
    <row r="59" spans="3:34">
      <c r="F59" s="64" t="s">
        <v>200</v>
      </c>
      <c r="G59" s="65"/>
      <c r="H59" s="66">
        <f>'Inputs &amp; Assumptions'!L37</f>
        <v>1</v>
      </c>
      <c r="I59" s="65" t="str" cm="1">
        <f t="array" ref="I59">_xlfn.IFS(H59= 1,"Street", H59=2,"Bear",H59=3,"Base",H59=4,"Bull")</f>
        <v>Street</v>
      </c>
      <c r="J59" s="65"/>
      <c r="K59" s="65" t="s">
        <v>196</v>
      </c>
      <c r="L59" s="67">
        <v>0.15</v>
      </c>
      <c r="M59" s="67"/>
      <c r="N59" s="67"/>
      <c r="O59" s="143">
        <f ca="1">OFFSET(O61,$H59,0)</f>
        <v>0.61541999999999997</v>
      </c>
      <c r="P59" s="143">
        <f ca="1">OFFSET(P61,$H59,0)</f>
        <v>0.62001666666666666</v>
      </c>
      <c r="Q59" s="143">
        <f ca="1">OFFSET(Q61,$H59,0)</f>
        <v>0.61465249999999994</v>
      </c>
      <c r="R59" s="143">
        <f ca="1">OFFSET(R61,$H59,0)</f>
        <v>0.62072916666666667</v>
      </c>
      <c r="S59" s="143">
        <f ca="1">OFFSET(S61,$H59,0)</f>
        <v>0.6060416666666667</v>
      </c>
    </row>
    <row r="60" spans="3:34">
      <c r="F60" s="68"/>
      <c r="L60" s="69"/>
      <c r="M60" s="69"/>
      <c r="N60" s="69"/>
      <c r="O60" s="69"/>
      <c r="P60" s="69"/>
      <c r="Q60" s="69"/>
      <c r="R60" s="69"/>
      <c r="S60" s="69"/>
    </row>
    <row r="61" spans="3:34">
      <c r="G61" s="70"/>
      <c r="H61" s="70" t="s">
        <v>183</v>
      </c>
      <c r="I61" s="70"/>
      <c r="J61" s="70"/>
      <c r="L61" s="69"/>
      <c r="M61" s="69"/>
      <c r="N61" s="69"/>
      <c r="O61" s="71"/>
      <c r="P61" s="69"/>
      <c r="Q61" s="69"/>
      <c r="R61" s="72"/>
      <c r="S61" s="69"/>
    </row>
    <row r="62" spans="3:34">
      <c r="F62" s="73" t="s">
        <v>184</v>
      </c>
      <c r="G62" s="74"/>
      <c r="H62" s="164" t="s">
        <v>201</v>
      </c>
      <c r="I62" s="75"/>
      <c r="J62" s="75"/>
      <c r="K62" s="76"/>
      <c r="L62" s="76"/>
      <c r="M62" s="76"/>
      <c r="N62" s="76"/>
      <c r="O62" s="155">
        <f>O64</f>
        <v>0.61541999999999997</v>
      </c>
      <c r="P62" s="155">
        <f t="shared" ref="P62:S62" si="16">P64</f>
        <v>0.62001666666666666</v>
      </c>
      <c r="Q62" s="155">
        <f t="shared" si="16"/>
        <v>0.61465249999999994</v>
      </c>
      <c r="R62" s="155">
        <f t="shared" si="16"/>
        <v>0.62072916666666667</v>
      </c>
      <c r="S62" s="156">
        <f t="shared" si="16"/>
        <v>0.6060416666666667</v>
      </c>
    </row>
    <row r="63" spans="3:34">
      <c r="F63" s="79" t="s">
        <v>185</v>
      </c>
      <c r="G63" s="70"/>
      <c r="H63" s="145" t="s">
        <v>201</v>
      </c>
      <c r="I63" s="80"/>
      <c r="J63" s="80"/>
      <c r="O63" s="151">
        <f>O64-0.03</f>
        <v>0.58541999999999994</v>
      </c>
      <c r="P63" s="151">
        <f t="shared" ref="P63:S63" si="17">P64-0.03</f>
        <v>0.59001666666666663</v>
      </c>
      <c r="Q63" s="151">
        <f t="shared" si="17"/>
        <v>0.58465249999999991</v>
      </c>
      <c r="R63" s="151">
        <f t="shared" si="17"/>
        <v>0.59072916666666664</v>
      </c>
      <c r="S63" s="153">
        <f t="shared" si="17"/>
        <v>0.57604166666666667</v>
      </c>
    </row>
    <row r="64" spans="3:34">
      <c r="F64" s="79" t="s">
        <v>186</v>
      </c>
      <c r="G64" s="70"/>
      <c r="H64" s="145" t="s">
        <v>201</v>
      </c>
      <c r="I64" s="80"/>
      <c r="J64" s="80"/>
      <c r="O64" s="157">
        <v>0.61541999999999997</v>
      </c>
      <c r="P64" s="157">
        <v>0.62001666666666666</v>
      </c>
      <c r="Q64" s="157">
        <v>0.61465249999999994</v>
      </c>
      <c r="R64" s="157">
        <v>0.62072916666666667</v>
      </c>
      <c r="S64" s="158">
        <v>0.6060416666666667</v>
      </c>
    </row>
    <row r="65" spans="3:34">
      <c r="F65" s="83" t="s">
        <v>187</v>
      </c>
      <c r="G65" s="84"/>
      <c r="H65" s="146" t="s">
        <v>201</v>
      </c>
      <c r="I65" s="85"/>
      <c r="J65" s="85"/>
      <c r="K65" s="65"/>
      <c r="L65" s="65"/>
      <c r="M65" s="65"/>
      <c r="N65" s="65"/>
      <c r="O65" s="152">
        <f>O64+0.03</f>
        <v>0.64541999999999999</v>
      </c>
      <c r="P65" s="152">
        <f t="shared" ref="P65:S65" si="18">P64+0.03</f>
        <v>0.65001666666666669</v>
      </c>
      <c r="Q65" s="152">
        <f t="shared" si="18"/>
        <v>0.64465249999999996</v>
      </c>
      <c r="R65" s="152">
        <f t="shared" si="18"/>
        <v>0.65072916666666669</v>
      </c>
      <c r="S65" s="154">
        <f t="shared" si="18"/>
        <v>0.63604166666666673</v>
      </c>
    </row>
    <row r="66" spans="3:34">
      <c r="F66" s="162"/>
      <c r="G66" s="70"/>
      <c r="H66" s="145"/>
      <c r="I66" s="80"/>
      <c r="J66" s="80"/>
      <c r="O66" s="151"/>
      <c r="P66" s="151"/>
      <c r="Q66" s="151"/>
      <c r="R66" s="151"/>
      <c r="S66" s="151"/>
    </row>
    <row r="67" spans="3:34">
      <c r="F67" s="162"/>
      <c r="G67" s="70"/>
      <c r="H67" s="145"/>
      <c r="I67" s="80"/>
      <c r="J67" s="80"/>
      <c r="O67" s="151"/>
      <c r="P67" s="151"/>
      <c r="Q67" s="151"/>
      <c r="R67" s="151"/>
      <c r="S67" s="151"/>
    </row>
    <row r="68" spans="3:34">
      <c r="F68" s="64" t="s">
        <v>200</v>
      </c>
      <c r="G68" s="65"/>
      <c r="H68" s="66">
        <f>'Inputs &amp; Assumptions'!L37</f>
        <v>1</v>
      </c>
      <c r="I68" s="65" t="str" cm="1">
        <f t="array" ref="I68">_xlfn.IFS(H68= 1,"Street", H68=2,"Bear",H68=3,"Base",H68=4,"Bull")</f>
        <v>Street</v>
      </c>
      <c r="J68" s="65"/>
      <c r="K68" s="65"/>
      <c r="L68" s="67"/>
      <c r="M68" s="67"/>
      <c r="N68" s="67"/>
      <c r="O68" s="143">
        <f ca="1">OFFSET(O70,$H68,0)</f>
        <v>25.847639999999998</v>
      </c>
      <c r="P68" s="143">
        <f ca="1">OFFSET(P70,$H68,0)</f>
        <v>26.040700000000001</v>
      </c>
      <c r="Q68" s="143">
        <f ca="1">OFFSET(Q70,$H68,0)</f>
        <v>25.815404999999998</v>
      </c>
      <c r="R68" s="143">
        <f ca="1">OFFSET(R70,$H68,0)</f>
        <v>26.070625</v>
      </c>
      <c r="S68" s="143">
        <f ca="1">OFFSET(S70,$H68,0)</f>
        <v>25.453750000000003</v>
      </c>
    </row>
    <row r="69" spans="3:34">
      <c r="F69" s="68"/>
      <c r="L69" s="69"/>
      <c r="M69" s="69"/>
      <c r="N69" s="69"/>
      <c r="O69" s="69"/>
      <c r="P69" s="69"/>
      <c r="Q69" s="69"/>
      <c r="R69" s="69"/>
      <c r="S69" s="69"/>
    </row>
    <row r="70" spans="3:34">
      <c r="G70" s="70"/>
      <c r="H70" s="70" t="s">
        <v>183</v>
      </c>
      <c r="I70" s="70"/>
      <c r="J70" s="70"/>
      <c r="L70" s="69"/>
      <c r="M70" s="69"/>
      <c r="N70" s="69"/>
      <c r="O70" s="71"/>
      <c r="P70" s="69"/>
      <c r="Q70" s="69"/>
      <c r="R70" s="72"/>
      <c r="S70" s="69"/>
    </row>
    <row r="71" spans="3:34">
      <c r="F71" s="73" t="s">
        <v>184</v>
      </c>
      <c r="G71" s="74"/>
      <c r="H71" s="164" t="s">
        <v>191</v>
      </c>
      <c r="I71" s="75"/>
      <c r="J71" s="75"/>
      <c r="K71" s="76"/>
      <c r="L71" s="76"/>
      <c r="M71" s="76"/>
      <c r="N71" s="76"/>
      <c r="O71" s="155">
        <f>O73</f>
        <v>25.847639999999998</v>
      </c>
      <c r="P71" s="155">
        <f t="shared" ref="P71:S71" si="19">P73</f>
        <v>26.040700000000001</v>
      </c>
      <c r="Q71" s="155">
        <f t="shared" si="19"/>
        <v>25.815404999999998</v>
      </c>
      <c r="R71" s="155">
        <f t="shared" si="19"/>
        <v>26.070625</v>
      </c>
      <c r="S71" s="156">
        <f t="shared" si="19"/>
        <v>25.453750000000003</v>
      </c>
    </row>
    <row r="72" spans="3:34">
      <c r="F72" s="79" t="s">
        <v>185</v>
      </c>
      <c r="G72" s="70"/>
      <c r="H72" s="145" t="s">
        <v>191</v>
      </c>
      <c r="I72" s="80"/>
      <c r="J72" s="80"/>
      <c r="O72" s="151">
        <f>O73-0.03</f>
        <v>25.817639999999997</v>
      </c>
      <c r="P72" s="151">
        <f t="shared" ref="P72:S72" si="20">P73-0.03</f>
        <v>26.0107</v>
      </c>
      <c r="Q72" s="151">
        <f t="shared" si="20"/>
        <v>25.785404999999997</v>
      </c>
      <c r="R72" s="151">
        <f t="shared" si="20"/>
        <v>26.040624999999999</v>
      </c>
      <c r="S72" s="153">
        <f t="shared" si="20"/>
        <v>25.423750000000002</v>
      </c>
    </row>
    <row r="73" spans="3:34">
      <c r="F73" s="79" t="s">
        <v>186</v>
      </c>
      <c r="G73" s="70"/>
      <c r="H73" s="145" t="s">
        <v>191</v>
      </c>
      <c r="I73" s="80"/>
      <c r="J73" s="80"/>
      <c r="O73" s="157">
        <f>O64*42*(1+NAV!AU49)</f>
        <v>25.847639999999998</v>
      </c>
      <c r="P73" s="147">
        <f>O73+U73</f>
        <v>26.040700000000001</v>
      </c>
      <c r="Q73" s="147">
        <f t="shared" ref="Q73" si="21">P73+V73</f>
        <v>25.815404999999998</v>
      </c>
      <c r="R73" s="147">
        <f t="shared" ref="R73" si="22">Q73+W73</f>
        <v>26.070625</v>
      </c>
      <c r="S73" s="147">
        <f t="shared" ref="S73" si="23">R73+X73</f>
        <v>25.453750000000003</v>
      </c>
      <c r="U73" s="264">
        <v>0.19306000000000267</v>
      </c>
      <c r="V73" s="264">
        <v>-0.22529500000000269</v>
      </c>
      <c r="W73" s="264">
        <v>0.25522000000000133</v>
      </c>
      <c r="X73" s="264">
        <v>-0.61687499999999673</v>
      </c>
    </row>
    <row r="74" spans="3:34">
      <c r="F74" s="83" t="s">
        <v>187</v>
      </c>
      <c r="G74" s="84"/>
      <c r="H74" s="146" t="s">
        <v>191</v>
      </c>
      <c r="I74" s="85"/>
      <c r="J74" s="85"/>
      <c r="K74" s="65"/>
      <c r="L74" s="65"/>
      <c r="M74" s="65"/>
      <c r="N74" s="65"/>
      <c r="O74" s="152">
        <f>O73+0.03</f>
        <v>25.87764</v>
      </c>
      <c r="P74" s="152">
        <f t="shared" ref="P74:S74" si="24">P73+0.03</f>
        <v>26.070700000000002</v>
      </c>
      <c r="Q74" s="152">
        <f t="shared" si="24"/>
        <v>25.845405</v>
      </c>
      <c r="R74" s="152">
        <f t="shared" si="24"/>
        <v>26.100625000000001</v>
      </c>
      <c r="S74" s="154">
        <f t="shared" si="24"/>
        <v>25.483750000000004</v>
      </c>
    </row>
    <row r="75" spans="3:34">
      <c r="F75" s="162"/>
      <c r="G75" s="70"/>
      <c r="H75" s="145"/>
      <c r="I75" s="80"/>
      <c r="J75" s="80"/>
      <c r="O75" s="151"/>
      <c r="P75" s="151"/>
      <c r="Q75" s="151"/>
      <c r="R75" s="151"/>
      <c r="S75" s="151"/>
    </row>
    <row r="77" spans="3:34">
      <c r="C77" s="38" t="s">
        <v>46</v>
      </c>
      <c r="D77" s="38" t="s">
        <v>202</v>
      </c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80" spans="3:34">
      <c r="F80" s="64" t="s">
        <v>203</v>
      </c>
      <c r="G80" s="65"/>
      <c r="H80" s="66">
        <v>4</v>
      </c>
      <c r="I80" s="65" t="str" cm="1">
        <f t="array" ref="I80">_xlfn.IFS(H80= 1,"Street", H80=2,"Bear",H80=3,"Base",H80=4,"Bull")</f>
        <v>Bull</v>
      </c>
      <c r="J80" s="65"/>
      <c r="K80" s="65" t="s">
        <v>196</v>
      </c>
      <c r="L80" s="67">
        <v>0.56999999999999995</v>
      </c>
      <c r="M80" s="67"/>
      <c r="N80" s="67"/>
      <c r="O80" s="143">
        <f ca="1">OFFSET(O82,$H80,0)</f>
        <v>0.29625999999999997</v>
      </c>
      <c r="P80" s="143">
        <f ca="1">OFFSET(P82,$H80,0)</f>
        <v>0.29625999999999997</v>
      </c>
      <c r="Q80" s="143">
        <f ca="1">OFFSET(Q82,$H80,0)</f>
        <v>0.29625999999999997</v>
      </c>
      <c r="R80" s="143">
        <f ca="1">OFFSET(R82,$H80,0)</f>
        <v>0.29625999999999997</v>
      </c>
      <c r="S80" s="143">
        <f ca="1">OFFSET(S82,$H80,0)</f>
        <v>0.29625999999999997</v>
      </c>
    </row>
    <row r="81" spans="6:24">
      <c r="F81" s="68"/>
      <c r="L81" s="69"/>
      <c r="M81" s="69"/>
      <c r="N81" s="69"/>
      <c r="O81" s="69"/>
      <c r="P81" s="69"/>
      <c r="Q81" s="69"/>
      <c r="R81" s="69"/>
      <c r="S81" s="69"/>
    </row>
    <row r="82" spans="6:24">
      <c r="G82" s="70"/>
      <c r="H82" s="70" t="s">
        <v>183</v>
      </c>
      <c r="I82" s="70"/>
      <c r="J82" s="70"/>
      <c r="L82" s="69"/>
      <c r="M82" s="69"/>
      <c r="N82" s="69"/>
      <c r="O82" s="71"/>
      <c r="P82" s="69"/>
      <c r="Q82" s="69"/>
      <c r="R82" s="72"/>
      <c r="S82" s="69"/>
    </row>
    <row r="83" spans="6:24">
      <c r="F83" s="73" t="s">
        <v>184</v>
      </c>
      <c r="G83" s="74"/>
      <c r="H83" s="164" t="s">
        <v>201</v>
      </c>
      <c r="I83" s="75"/>
      <c r="J83" s="75"/>
      <c r="K83" s="76"/>
      <c r="L83" s="76"/>
      <c r="M83" s="76"/>
      <c r="N83" s="76"/>
      <c r="O83" s="155">
        <f>O85</f>
        <v>0.26626</v>
      </c>
      <c r="P83" s="155">
        <f t="shared" ref="P83:S83" si="25">P85</f>
        <v>0.26626</v>
      </c>
      <c r="Q83" s="155">
        <f t="shared" si="25"/>
        <v>0.26626</v>
      </c>
      <c r="R83" s="155">
        <f t="shared" si="25"/>
        <v>0.26626</v>
      </c>
      <c r="S83" s="156">
        <f t="shared" si="25"/>
        <v>0.26626</v>
      </c>
    </row>
    <row r="84" spans="6:24">
      <c r="F84" s="79" t="s">
        <v>185</v>
      </c>
      <c r="G84" s="70"/>
      <c r="H84" s="145" t="s">
        <v>201</v>
      </c>
      <c r="I84" s="80"/>
      <c r="J84" s="80"/>
      <c r="O84" s="151">
        <f>O85-0.03</f>
        <v>0.23626</v>
      </c>
      <c r="P84" s="151">
        <f t="shared" ref="P84" si="26">P85-0.03</f>
        <v>0.23626</v>
      </c>
      <c r="Q84" s="151">
        <f t="shared" ref="Q84" si="27">Q85-0.03</f>
        <v>0.23626</v>
      </c>
      <c r="R84" s="151">
        <f t="shared" ref="R84" si="28">R85-0.03</f>
        <v>0.23626</v>
      </c>
      <c r="S84" s="153">
        <f t="shared" ref="S84" si="29">S85-0.03</f>
        <v>0.23626</v>
      </c>
    </row>
    <row r="85" spans="6:24">
      <c r="F85" s="79" t="s">
        <v>186</v>
      </c>
      <c r="G85" s="70"/>
      <c r="H85" s="145" t="s">
        <v>201</v>
      </c>
      <c r="I85" s="80"/>
      <c r="J85" s="80"/>
      <c r="O85" s="160">
        <v>0.26626</v>
      </c>
      <c r="P85" s="147">
        <f>O85+U85</f>
        <v>0.26626</v>
      </c>
      <c r="Q85" s="147">
        <f t="shared" ref="Q85" si="30">P85+V85</f>
        <v>0.26626</v>
      </c>
      <c r="R85" s="147">
        <f t="shared" ref="R85" si="31">Q85+W85</f>
        <v>0.26626</v>
      </c>
      <c r="S85" s="147">
        <f t="shared" ref="S85" si="32">R85+X85</f>
        <v>0.26626</v>
      </c>
    </row>
    <row r="86" spans="6:24">
      <c r="F86" s="83" t="s">
        <v>187</v>
      </c>
      <c r="G86" s="84"/>
      <c r="H86" s="146" t="s">
        <v>201</v>
      </c>
      <c r="I86" s="85"/>
      <c r="J86" s="85"/>
      <c r="K86" s="65"/>
      <c r="L86" s="65"/>
      <c r="M86" s="65"/>
      <c r="N86" s="65"/>
      <c r="O86" s="152">
        <f>O85+0.03</f>
        <v>0.29625999999999997</v>
      </c>
      <c r="P86" s="152">
        <f t="shared" ref="P86" si="33">P85+0.03</f>
        <v>0.29625999999999997</v>
      </c>
      <c r="Q86" s="152">
        <f t="shared" ref="Q86" si="34">Q85+0.03</f>
        <v>0.29625999999999997</v>
      </c>
      <c r="R86" s="152">
        <f t="shared" ref="R86" si="35">R85+0.03</f>
        <v>0.29625999999999997</v>
      </c>
      <c r="S86" s="154">
        <f t="shared" ref="S86" si="36">S85+0.03</f>
        <v>0.29625999999999997</v>
      </c>
    </row>
    <row r="87" spans="6:24">
      <c r="F87" s="162"/>
      <c r="G87" s="70"/>
      <c r="H87" s="145"/>
      <c r="I87" s="80"/>
      <c r="J87" s="80"/>
      <c r="O87" s="151"/>
      <c r="P87" s="151"/>
      <c r="Q87" s="151"/>
      <c r="R87" s="151"/>
      <c r="S87" s="151"/>
    </row>
    <row r="88" spans="6:24">
      <c r="F88" s="162"/>
      <c r="G88" s="70"/>
      <c r="H88" s="145"/>
      <c r="I88" s="80"/>
      <c r="J88" s="80"/>
      <c r="O88" s="151"/>
      <c r="P88" s="151"/>
      <c r="Q88" s="151"/>
      <c r="R88" s="151"/>
      <c r="S88" s="151"/>
    </row>
    <row r="89" spans="6:24">
      <c r="F89" s="64" t="s">
        <v>203</v>
      </c>
      <c r="G89" s="65"/>
      <c r="H89" s="66">
        <f>'Inputs &amp; Assumptions'!L37</f>
        <v>1</v>
      </c>
      <c r="I89" s="65" t="str" cm="1">
        <f t="array" ref="I89">_xlfn.IFS(H89= 1,"Street", H89=2,"Bear",H89=3,"Base",H89=4,"Bull")</f>
        <v>Street</v>
      </c>
      <c r="J89" s="65"/>
      <c r="K89" s="65"/>
      <c r="L89" s="67"/>
      <c r="M89" s="67"/>
      <c r="N89" s="67"/>
      <c r="O89" s="143">
        <f ca="1">OFFSET(O91,$H89,0)</f>
        <v>11.182919999999999</v>
      </c>
      <c r="P89" s="143">
        <f ca="1">OFFSET(P91,$H89,0)</f>
        <v>11.310879999999999</v>
      </c>
      <c r="Q89" s="143">
        <f ca="1">OFFSET(Q91,$H89,0)</f>
        <v>11.495959999999998</v>
      </c>
      <c r="R89" s="143">
        <f ca="1">OFFSET(R91,$H89,0)</f>
        <v>11.307905000000003</v>
      </c>
      <c r="S89" s="143">
        <f ca="1">OFFSET(S91,$H89,0)</f>
        <v>11.023425</v>
      </c>
    </row>
    <row r="90" spans="6:24">
      <c r="F90" s="68"/>
      <c r="L90" s="69"/>
      <c r="M90" s="69"/>
      <c r="N90" s="69"/>
      <c r="O90" s="69"/>
      <c r="P90" s="69"/>
      <c r="Q90" s="69"/>
      <c r="R90" s="69"/>
      <c r="S90" s="69"/>
    </row>
    <row r="91" spans="6:24">
      <c r="G91" s="70"/>
      <c r="H91" s="70" t="s">
        <v>183</v>
      </c>
      <c r="I91" s="70"/>
      <c r="J91" s="70"/>
      <c r="L91" s="69"/>
      <c r="M91" s="69"/>
      <c r="N91" s="69"/>
      <c r="O91" s="71"/>
      <c r="P91" s="69"/>
      <c r="Q91" s="69"/>
      <c r="R91" s="72"/>
      <c r="S91" s="69"/>
    </row>
    <row r="92" spans="6:24">
      <c r="F92" s="73" t="s">
        <v>184</v>
      </c>
      <c r="G92" s="74"/>
      <c r="H92" s="164" t="s">
        <v>191</v>
      </c>
      <c r="I92" s="75"/>
      <c r="J92" s="75"/>
      <c r="K92" s="76"/>
      <c r="L92" s="76"/>
      <c r="M92" s="76"/>
      <c r="N92" s="76"/>
      <c r="O92" s="155">
        <f>O94</f>
        <v>11.182919999999999</v>
      </c>
      <c r="P92" s="155">
        <f t="shared" ref="P92:S92" si="37">P94</f>
        <v>11.310879999999999</v>
      </c>
      <c r="Q92" s="155">
        <f t="shared" si="37"/>
        <v>11.495959999999998</v>
      </c>
      <c r="R92" s="155">
        <f t="shared" si="37"/>
        <v>11.307905000000003</v>
      </c>
      <c r="S92" s="156">
        <f t="shared" si="37"/>
        <v>11.023425</v>
      </c>
    </row>
    <row r="93" spans="6:24">
      <c r="F93" s="79" t="s">
        <v>185</v>
      </c>
      <c r="G93" s="70"/>
      <c r="H93" s="145" t="s">
        <v>191</v>
      </c>
      <c r="I93" s="80"/>
      <c r="J93" s="80"/>
      <c r="O93" s="151">
        <f>O94-0.03</f>
        <v>11.15292</v>
      </c>
      <c r="P93" s="151">
        <f t="shared" ref="P93:S93" si="38">P94-0.03</f>
        <v>11.28088</v>
      </c>
      <c r="Q93" s="151">
        <f t="shared" si="38"/>
        <v>11.465959999999999</v>
      </c>
      <c r="R93" s="151">
        <f t="shared" si="38"/>
        <v>11.277905000000004</v>
      </c>
      <c r="S93" s="153">
        <f t="shared" si="38"/>
        <v>10.993425</v>
      </c>
    </row>
    <row r="94" spans="6:24">
      <c r="F94" s="79" t="s">
        <v>186</v>
      </c>
      <c r="G94" s="70"/>
      <c r="H94" s="145" t="s">
        <v>191</v>
      </c>
      <c r="I94" s="80"/>
      <c r="J94" s="80"/>
      <c r="O94" s="160">
        <f>O85*42*(1+NAV!AU49)</f>
        <v>11.182919999999999</v>
      </c>
      <c r="P94" s="147">
        <f>O94+U94</f>
        <v>11.310879999999999</v>
      </c>
      <c r="Q94" s="147">
        <f t="shared" ref="Q94" si="39">P94+V94</f>
        <v>11.495959999999998</v>
      </c>
      <c r="R94" s="147">
        <f t="shared" ref="R94" si="40">Q94+W94</f>
        <v>11.307905000000003</v>
      </c>
      <c r="S94" s="147">
        <f t="shared" ref="S94" si="41">R94+X94</f>
        <v>11.023425</v>
      </c>
      <c r="U94" s="264">
        <v>0.12795999999999985</v>
      </c>
      <c r="V94" s="264">
        <v>0.18507999999999925</v>
      </c>
      <c r="W94" s="264">
        <v>-0.18805499999999498</v>
      </c>
      <c r="X94" s="264">
        <v>-0.28448000000000384</v>
      </c>
    </row>
    <row r="95" spans="6:24">
      <c r="F95" s="83" t="s">
        <v>187</v>
      </c>
      <c r="G95" s="84"/>
      <c r="H95" s="146" t="s">
        <v>191</v>
      </c>
      <c r="I95" s="85"/>
      <c r="J95" s="85"/>
      <c r="K95" s="65"/>
      <c r="L95" s="65"/>
      <c r="M95" s="65"/>
      <c r="N95" s="65"/>
      <c r="O95" s="152">
        <f>O94+0.03</f>
        <v>11.212919999999999</v>
      </c>
      <c r="P95" s="152">
        <f t="shared" ref="P95:S95" si="42">P94+0.03</f>
        <v>11.340879999999999</v>
      </c>
      <c r="Q95" s="152">
        <f t="shared" si="42"/>
        <v>11.525959999999998</v>
      </c>
      <c r="R95" s="152">
        <f t="shared" si="42"/>
        <v>11.337905000000003</v>
      </c>
      <c r="S95" s="154">
        <f t="shared" si="42"/>
        <v>11.053424999999999</v>
      </c>
    </row>
    <row r="98" spans="3:19">
      <c r="C98" s="38" t="s">
        <v>56</v>
      </c>
      <c r="D98" s="38" t="s">
        <v>204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</row>
    <row r="101" spans="3:19">
      <c r="F101" s="64" t="s">
        <v>205</v>
      </c>
      <c r="G101" s="65"/>
      <c r="H101" s="66">
        <f>'Inputs &amp; Assumptions'!L37</f>
        <v>1</v>
      </c>
      <c r="I101" s="65" t="str" cm="1">
        <f t="array" ref="I101">_xlfn.IFS(H101= 1,"Street", H101=2,"Bear",H101=3,"Base",H101=4,"Bull")</f>
        <v>Street</v>
      </c>
      <c r="J101" s="65"/>
      <c r="K101" s="65" t="s">
        <v>196</v>
      </c>
      <c r="L101" s="67">
        <v>0.2</v>
      </c>
      <c r="M101" s="67"/>
      <c r="N101" s="67"/>
      <c r="O101" s="143">
        <f ca="1">OFFSET(O103,$H101,0)</f>
        <v>0.85</v>
      </c>
      <c r="P101" s="143">
        <f ca="1">OFFSET(P103,$H101,0)</f>
        <v>0.78746416666666663</v>
      </c>
      <c r="Q101" s="143">
        <f ca="1">OFFSET(Q103,$H101,0)</f>
        <v>0.86699999999999999</v>
      </c>
      <c r="R101" s="143">
        <f ca="1">OFFSET(R103,$H101,0)</f>
        <v>0.78300000000000003</v>
      </c>
      <c r="S101" s="143">
        <f ca="1">OFFSET(S103,$H101,0)</f>
        <v>0.746</v>
      </c>
    </row>
    <row r="102" spans="3:19">
      <c r="F102" s="68"/>
      <c r="L102" s="69"/>
      <c r="M102" s="69"/>
      <c r="N102" s="69"/>
      <c r="O102" s="69"/>
      <c r="P102" s="69"/>
      <c r="Q102" s="69"/>
      <c r="R102" s="69"/>
      <c r="S102" s="69"/>
    </row>
    <row r="103" spans="3:19">
      <c r="G103" s="70"/>
      <c r="H103" s="70" t="s">
        <v>183</v>
      </c>
      <c r="I103" s="70"/>
      <c r="J103" s="70"/>
      <c r="L103" s="69"/>
      <c r="M103" s="69"/>
      <c r="N103" s="69"/>
      <c r="O103" s="71"/>
      <c r="P103" s="69"/>
      <c r="Q103" s="69"/>
      <c r="R103" s="72"/>
      <c r="S103" s="69"/>
    </row>
    <row r="104" spans="3:19">
      <c r="F104" s="73" t="s">
        <v>184</v>
      </c>
      <c r="G104" s="74"/>
      <c r="H104" s="164" t="s">
        <v>201</v>
      </c>
      <c r="I104" s="75"/>
      <c r="J104" s="75"/>
      <c r="K104" s="76"/>
      <c r="L104" s="76"/>
      <c r="M104" s="76"/>
      <c r="N104" s="76"/>
      <c r="O104" s="155">
        <f>O106</f>
        <v>0.85</v>
      </c>
      <c r="P104" s="155">
        <f t="shared" ref="P104:S104" si="43">P106</f>
        <v>0.78746416666666663</v>
      </c>
      <c r="Q104" s="155">
        <f t="shared" si="43"/>
        <v>0.86699999999999999</v>
      </c>
      <c r="R104" s="155">
        <f t="shared" si="43"/>
        <v>0.78300000000000003</v>
      </c>
      <c r="S104" s="156">
        <f t="shared" si="43"/>
        <v>0.746</v>
      </c>
    </row>
    <row r="105" spans="3:19">
      <c r="F105" s="79" t="s">
        <v>185</v>
      </c>
      <c r="G105" s="70"/>
      <c r="H105" s="145" t="s">
        <v>201</v>
      </c>
      <c r="I105" s="80"/>
      <c r="J105" s="80"/>
      <c r="O105" s="151">
        <f>O106-0.03</f>
        <v>0.82</v>
      </c>
      <c r="P105" s="151">
        <f t="shared" ref="P105:S105" si="44">P106-0.03</f>
        <v>0.75746416666666661</v>
      </c>
      <c r="Q105" s="151">
        <f t="shared" si="44"/>
        <v>0.83699999999999997</v>
      </c>
      <c r="R105" s="151">
        <f t="shared" si="44"/>
        <v>0.753</v>
      </c>
      <c r="S105" s="153">
        <f t="shared" si="44"/>
        <v>0.71599999999999997</v>
      </c>
    </row>
    <row r="106" spans="3:19">
      <c r="F106" s="79" t="s">
        <v>186</v>
      </c>
      <c r="G106" s="70"/>
      <c r="H106" s="145" t="s">
        <v>201</v>
      </c>
      <c r="I106" s="80"/>
      <c r="J106" s="80"/>
      <c r="O106" s="161">
        <v>0.85</v>
      </c>
      <c r="P106" s="161">
        <v>0.78746416666666663</v>
      </c>
      <c r="Q106" s="161">
        <v>0.86699999999999999</v>
      </c>
      <c r="R106" s="161">
        <v>0.78300000000000003</v>
      </c>
      <c r="S106" s="159">
        <v>0.746</v>
      </c>
    </row>
    <row r="107" spans="3:19">
      <c r="F107" s="83" t="s">
        <v>187</v>
      </c>
      <c r="G107" s="84"/>
      <c r="H107" s="146" t="s">
        <v>201</v>
      </c>
      <c r="I107" s="85"/>
      <c r="J107" s="85"/>
      <c r="K107" s="65"/>
      <c r="L107" s="65"/>
      <c r="M107" s="65"/>
      <c r="N107" s="65"/>
      <c r="O107" s="152">
        <f>O106+0.03</f>
        <v>0.88</v>
      </c>
      <c r="P107" s="152">
        <f t="shared" ref="P107:S107" si="45">P106+0.03</f>
        <v>0.81746416666666666</v>
      </c>
      <c r="Q107" s="152">
        <f t="shared" si="45"/>
        <v>0.89700000000000002</v>
      </c>
      <c r="R107" s="152">
        <f t="shared" si="45"/>
        <v>0.81300000000000006</v>
      </c>
      <c r="S107" s="154">
        <f t="shared" si="45"/>
        <v>0.77600000000000002</v>
      </c>
    </row>
    <row r="110" spans="3:19">
      <c r="F110" s="64" t="s">
        <v>205</v>
      </c>
      <c r="G110" s="65"/>
      <c r="H110" s="66">
        <f>'Inputs &amp; Assumptions'!L37</f>
        <v>1</v>
      </c>
      <c r="I110" s="65" t="str" cm="1">
        <f t="array" ref="I110">_xlfn.IFS(H110= 1,"Street", H110=2,"Bear",H110=3,"Base",H110=4,"Bull")</f>
        <v>Street</v>
      </c>
      <c r="J110" s="65"/>
      <c r="K110" s="65"/>
      <c r="L110" s="67"/>
      <c r="M110" s="67"/>
      <c r="N110" s="67"/>
      <c r="O110" s="143">
        <f ca="1">OFFSET(O112,$H110,0)</f>
        <v>35.699999999999996</v>
      </c>
      <c r="P110" s="143">
        <f ca="1">OFFSET(P112,$H110,0)</f>
        <v>33.073495000000001</v>
      </c>
      <c r="Q110" s="143">
        <f ca="1">OFFSET(Q112,$H110,0)</f>
        <v>36.414000000000001</v>
      </c>
      <c r="R110" s="143">
        <f ca="1">OFFSET(R112,$H110,0)</f>
        <v>32.886000000000003</v>
      </c>
      <c r="S110" s="143">
        <f ca="1">OFFSET(S112,$H110,0)</f>
        <v>31.332000000000001</v>
      </c>
    </row>
    <row r="111" spans="3:19">
      <c r="F111" s="68"/>
      <c r="L111" s="69"/>
      <c r="M111" s="69"/>
      <c r="N111" s="69"/>
      <c r="O111" s="69"/>
      <c r="P111" s="69"/>
      <c r="Q111" s="69"/>
      <c r="R111" s="69"/>
      <c r="S111" s="69"/>
    </row>
    <row r="112" spans="3:19">
      <c r="G112" s="70"/>
      <c r="H112" s="70" t="s">
        <v>183</v>
      </c>
      <c r="I112" s="70"/>
      <c r="J112" s="70"/>
      <c r="L112" s="69"/>
      <c r="M112" s="69"/>
      <c r="N112" s="69"/>
      <c r="O112" s="71"/>
      <c r="P112" s="69"/>
      <c r="Q112" s="69"/>
      <c r="R112" s="72"/>
      <c r="S112" s="69"/>
    </row>
    <row r="113" spans="3:26">
      <c r="F113" s="73" t="s">
        <v>184</v>
      </c>
      <c r="G113" s="74"/>
      <c r="H113" s="74" t="s">
        <v>191</v>
      </c>
      <c r="I113" s="75"/>
      <c r="J113" s="75"/>
      <c r="K113" s="76"/>
      <c r="L113" s="76"/>
      <c r="M113" s="76"/>
      <c r="N113" s="76"/>
      <c r="O113" s="155">
        <f>O115</f>
        <v>35.699999999999996</v>
      </c>
      <c r="P113" s="155">
        <f t="shared" ref="P113:S113" si="46">P115</f>
        <v>33.073495000000001</v>
      </c>
      <c r="Q113" s="155">
        <f t="shared" si="46"/>
        <v>36.414000000000001</v>
      </c>
      <c r="R113" s="155">
        <f t="shared" si="46"/>
        <v>32.886000000000003</v>
      </c>
      <c r="S113" s="156">
        <f t="shared" si="46"/>
        <v>31.332000000000001</v>
      </c>
    </row>
    <row r="114" spans="3:26">
      <c r="F114" s="79" t="s">
        <v>185</v>
      </c>
      <c r="G114" s="70"/>
      <c r="H114" s="145" t="s">
        <v>191</v>
      </c>
      <c r="I114" s="80"/>
      <c r="J114" s="80"/>
      <c r="O114" s="151">
        <f>O115-0.03</f>
        <v>35.669999999999995</v>
      </c>
      <c r="P114" s="151">
        <f t="shared" ref="P114:S114" si="47">P115-0.03</f>
        <v>33.043495</v>
      </c>
      <c r="Q114" s="151">
        <f t="shared" si="47"/>
        <v>36.384</v>
      </c>
      <c r="R114" s="151">
        <f t="shared" si="47"/>
        <v>32.856000000000002</v>
      </c>
      <c r="S114" s="153">
        <f t="shared" si="47"/>
        <v>31.302</v>
      </c>
    </row>
    <row r="115" spans="3:26">
      <c r="F115" s="79" t="s">
        <v>186</v>
      </c>
      <c r="G115" s="70"/>
      <c r="H115" s="145" t="s">
        <v>191</v>
      </c>
      <c r="I115" s="80"/>
      <c r="J115" s="80"/>
      <c r="O115" s="161">
        <f>O106*42*(1+NAV!AU49)</f>
        <v>35.699999999999996</v>
      </c>
      <c r="P115" s="147">
        <f>O115+U115</f>
        <v>33.073495000000001</v>
      </c>
      <c r="Q115" s="147">
        <f t="shared" ref="Q115" si="48">P115+V115</f>
        <v>36.414000000000001</v>
      </c>
      <c r="R115" s="147">
        <f t="shared" ref="R115" si="49">Q115+W115</f>
        <v>32.886000000000003</v>
      </c>
      <c r="S115" s="147">
        <f t="shared" ref="S115" si="50">R115+X115</f>
        <v>31.332000000000001</v>
      </c>
      <c r="U115" s="264">
        <v>-2.6265049999999945</v>
      </c>
      <c r="V115" s="264">
        <v>3.3405050000000003</v>
      </c>
      <c r="W115" s="264">
        <v>-3.5279999999999987</v>
      </c>
      <c r="X115" s="264">
        <v>-1.554000000000002</v>
      </c>
    </row>
    <row r="116" spans="3:26">
      <c r="F116" s="83" t="s">
        <v>187</v>
      </c>
      <c r="G116" s="84"/>
      <c r="H116" s="146" t="s">
        <v>191</v>
      </c>
      <c r="I116" s="85"/>
      <c r="J116" s="85"/>
      <c r="K116" s="65"/>
      <c r="L116" s="65"/>
      <c r="M116" s="65"/>
      <c r="N116" s="65"/>
      <c r="O116" s="152">
        <f>O115+0.03</f>
        <v>35.729999999999997</v>
      </c>
      <c r="P116" s="152">
        <f t="shared" ref="P116:S116" si="51">P115+0.03</f>
        <v>33.103495000000002</v>
      </c>
      <c r="Q116" s="152">
        <f t="shared" si="51"/>
        <v>36.444000000000003</v>
      </c>
      <c r="R116" s="152">
        <f t="shared" si="51"/>
        <v>32.916000000000004</v>
      </c>
      <c r="S116" s="154">
        <f t="shared" si="51"/>
        <v>31.362000000000002</v>
      </c>
    </row>
    <row r="119" spans="3:26">
      <c r="C119" s="38" t="s">
        <v>206</v>
      </c>
      <c r="D119" s="38" t="s">
        <v>207</v>
      </c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</row>
    <row r="122" spans="3:26">
      <c r="F122" s="64" t="s">
        <v>208</v>
      </c>
      <c r="G122" s="65"/>
      <c r="H122" s="66">
        <f>'Inputs &amp; Assumptions'!L37</f>
        <v>1</v>
      </c>
      <c r="I122" s="65" t="str" cm="1">
        <f t="array" ref="I122">_xlfn.IFS(H122= 1,"Street", H122=2,"Bear",H122=3,"Base",H122=4,"Bull")</f>
        <v>Street</v>
      </c>
      <c r="J122" s="65"/>
      <c r="K122" s="65"/>
      <c r="L122" s="67"/>
      <c r="M122" s="67"/>
      <c r="N122" s="67"/>
      <c r="O122" s="143">
        <f ca="1">OFFSET(O124,$H122,0)</f>
        <v>21.877915917241378</v>
      </c>
      <c r="P122" s="143">
        <f t="shared" ref="P122:S122" ca="1" si="52">OFFSET(P124,$H122,0)</f>
        <v>21.265246979310348</v>
      </c>
      <c r="Q122" s="143">
        <f t="shared" ca="1" si="52"/>
        <v>22.14891139827586</v>
      </c>
      <c r="R122" s="143">
        <f t="shared" ca="1" si="52"/>
        <v>21.493230634482764</v>
      </c>
      <c r="S122" s="143">
        <f t="shared" ca="1" si="52"/>
        <v>21.052987163793105</v>
      </c>
    </row>
    <row r="123" spans="3:26">
      <c r="F123" s="68"/>
      <c r="L123" s="69"/>
      <c r="M123" s="69"/>
      <c r="N123" s="69"/>
      <c r="O123" s="69"/>
      <c r="P123" s="69"/>
      <c r="Q123" s="69"/>
      <c r="R123" s="69"/>
      <c r="S123" s="69"/>
    </row>
    <row r="124" spans="3:26">
      <c r="G124" s="70"/>
      <c r="H124" s="70" t="s">
        <v>183</v>
      </c>
      <c r="I124" s="70"/>
      <c r="J124" s="70"/>
      <c r="L124" s="69"/>
      <c r="M124" s="69"/>
      <c r="N124" s="69"/>
      <c r="O124" s="71"/>
      <c r="P124" s="69"/>
      <c r="Q124" s="69"/>
      <c r="R124" s="72"/>
      <c r="S124" s="69"/>
    </row>
    <row r="125" spans="3:26">
      <c r="F125" s="73" t="s">
        <v>184</v>
      </c>
      <c r="G125" s="74"/>
      <c r="H125" s="74" t="s">
        <v>191</v>
      </c>
      <c r="I125" s="75"/>
      <c r="J125" s="75"/>
      <c r="K125" s="76"/>
      <c r="L125" s="76"/>
      <c r="M125" s="76"/>
      <c r="N125" s="76"/>
      <c r="O125" s="155">
        <f ca="1">O127</f>
        <v>21.877915917241378</v>
      </c>
      <c r="P125" s="155">
        <f t="shared" ref="P125:S125" ca="1" si="53">P127</f>
        <v>21.265246979310348</v>
      </c>
      <c r="Q125" s="155">
        <f t="shared" ca="1" si="53"/>
        <v>22.14891139827586</v>
      </c>
      <c r="R125" s="155">
        <f t="shared" ca="1" si="53"/>
        <v>21.493230634482764</v>
      </c>
      <c r="S125" s="156">
        <f t="shared" ca="1" si="53"/>
        <v>21.052987163793105</v>
      </c>
    </row>
    <row r="126" spans="3:26">
      <c r="F126" s="79" t="s">
        <v>185</v>
      </c>
      <c r="G126" s="70"/>
      <c r="H126" s="145" t="s">
        <v>191</v>
      </c>
      <c r="I126" s="80"/>
      <c r="J126" s="80"/>
      <c r="O126" s="151">
        <f ca="1">O127-0.03</f>
        <v>21.847915917241377</v>
      </c>
      <c r="P126" s="151">
        <f t="shared" ref="P126:S126" ca="1" si="54">P127-0.03</f>
        <v>21.235246979310347</v>
      </c>
      <c r="Q126" s="151">
        <f t="shared" ca="1" si="54"/>
        <v>22.118911398275859</v>
      </c>
      <c r="R126" s="151">
        <f t="shared" ca="1" si="54"/>
        <v>21.463230634482763</v>
      </c>
      <c r="S126" s="153">
        <f t="shared" ca="1" si="54"/>
        <v>21.022987163793104</v>
      </c>
      <c r="U126" s="264"/>
      <c r="V126" s="264"/>
      <c r="W126" s="264"/>
      <c r="X126" s="264"/>
      <c r="Y126" s="264"/>
      <c r="Z126" s="264"/>
    </row>
    <row r="127" spans="3:26">
      <c r="F127" s="79" t="s">
        <v>186</v>
      </c>
      <c r="G127" s="70"/>
      <c r="H127" s="145" t="s">
        <v>191</v>
      </c>
      <c r="I127" s="80"/>
      <c r="J127" s="80"/>
      <c r="O127" s="157">
        <f ca="1">O47*$L$38+O68*$L$59+O89*$L$80+O110*$L$101</f>
        <v>21.877915917241378</v>
      </c>
      <c r="P127" s="157">
        <f t="shared" ref="P127:S127" ca="1" si="55">P47*$L$38+P68*$L$59+P89*$L$80+P110*$L$101</f>
        <v>21.265246979310348</v>
      </c>
      <c r="Q127" s="157">
        <f t="shared" ca="1" si="55"/>
        <v>22.14891139827586</v>
      </c>
      <c r="R127" s="157">
        <f t="shared" ca="1" si="55"/>
        <v>21.493230634482764</v>
      </c>
      <c r="S127" s="158">
        <f t="shared" ca="1" si="55"/>
        <v>21.052987163793105</v>
      </c>
    </row>
    <row r="128" spans="3:26">
      <c r="F128" s="83" t="s">
        <v>187</v>
      </c>
      <c r="G128" s="84"/>
      <c r="H128" s="146" t="s">
        <v>191</v>
      </c>
      <c r="I128" s="85"/>
      <c r="J128" s="85"/>
      <c r="K128" s="65"/>
      <c r="L128" s="65"/>
      <c r="M128" s="65"/>
      <c r="N128" s="65"/>
      <c r="O128" s="152">
        <f ca="1">O127+0.03</f>
        <v>21.907915917241379</v>
      </c>
      <c r="P128" s="152">
        <f t="shared" ref="P128:S128" ca="1" si="56">P127+0.03</f>
        <v>21.295246979310349</v>
      </c>
      <c r="Q128" s="152">
        <f t="shared" ca="1" si="56"/>
        <v>22.178911398275861</v>
      </c>
      <c r="R128" s="152">
        <f t="shared" ca="1" si="56"/>
        <v>21.523230634482765</v>
      </c>
      <c r="S128" s="154">
        <f t="shared" ca="1" si="56"/>
        <v>21.082987163793106</v>
      </c>
      <c r="U128" s="264"/>
      <c r="V128" s="264"/>
      <c r="W128" s="264"/>
      <c r="X128" s="264"/>
      <c r="Y128" s="2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6D3F-9FE8-48E0-AF8F-259838CEEAC7}">
  <dimension ref="A1:AO81"/>
  <sheetViews>
    <sheetView zoomScale="66" zoomScaleNormal="66" workbookViewId="0">
      <selection activeCell="AU47" sqref="AU47"/>
    </sheetView>
  </sheetViews>
  <sheetFormatPr baseColWidth="10" defaultColWidth="8.83203125" defaultRowHeight="15"/>
  <cols>
    <col min="1" max="5" width="2.83203125" style="22" customWidth="1"/>
    <col min="6" max="9" width="8.83203125" style="22"/>
    <col min="10" max="11" width="11" style="22" bestFit="1" customWidth="1"/>
    <col min="12" max="12" width="14.5" style="22" bestFit="1" customWidth="1"/>
    <col min="13" max="41" width="13.83203125" style="22" bestFit="1" customWidth="1"/>
    <col min="42" max="16384" width="8.83203125" style="22"/>
  </cols>
  <sheetData>
    <row r="1" spans="1:4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  <c r="AF1" s="30"/>
    </row>
    <row r="2" spans="1:41" ht="19">
      <c r="A2" s="29"/>
      <c r="B2" s="29"/>
      <c r="C2" s="29"/>
      <c r="D2" s="31" t="str">
        <f>Cover!C5</f>
        <v>Net Asset Value Model - Range Resources Corp. (NYSE:RRC)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29"/>
      <c r="Z2" s="29"/>
      <c r="AA2" s="29"/>
      <c r="AB2" s="29"/>
      <c r="AC2" s="29"/>
      <c r="AD2" s="29"/>
      <c r="AE2" s="30"/>
      <c r="AF2" s="30"/>
    </row>
    <row r="3" spans="1:41">
      <c r="A3" s="29"/>
      <c r="B3" s="29"/>
      <c r="C3" s="29"/>
      <c r="D3" s="33" t="s">
        <v>209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30"/>
      <c r="AF3" s="30"/>
    </row>
    <row r="4" spans="1:4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30"/>
      <c r="AF4" s="30"/>
    </row>
    <row r="5" spans="1:41" s="166" customFormat="1">
      <c r="A5" s="29"/>
      <c r="B5" s="29"/>
      <c r="C5" s="29"/>
      <c r="D5" s="171" t="s">
        <v>19</v>
      </c>
      <c r="E5" s="30"/>
      <c r="F5" s="29"/>
      <c r="G5" s="30"/>
      <c r="H5" s="171" t="str" cm="1">
        <f t="array" ref="H5">_xlfn.IFS('Inputs &amp; Assumptions'!L37= 1,"Street", 'Inputs &amp; Assumptions'!L37=2,"Bear",'Inputs &amp; Assumptions'!L37=3,"Base",'Inputs &amp; Assumptions'!L37=4,"Bull")</f>
        <v>Street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30"/>
      <c r="AF5" s="30"/>
    </row>
    <row r="6" spans="1:41">
      <c r="A6" s="29"/>
      <c r="B6" s="29"/>
      <c r="C6" s="29"/>
      <c r="D6" s="171"/>
      <c r="E6" s="17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0"/>
      <c r="AF6" s="30"/>
    </row>
    <row r="10" spans="1:41">
      <c r="A10" s="170"/>
      <c r="B10" s="170"/>
      <c r="C10" s="170"/>
      <c r="D10" s="170"/>
      <c r="E10" s="170"/>
      <c r="F10" s="170" t="s">
        <v>210</v>
      </c>
      <c r="G10" s="170"/>
      <c r="H10" s="170"/>
      <c r="I10" s="170"/>
      <c r="J10" s="170"/>
      <c r="K10" s="170" t="s">
        <v>211</v>
      </c>
      <c r="L10" s="170" t="s">
        <v>212</v>
      </c>
      <c r="M10" s="170" t="s">
        <v>213</v>
      </c>
      <c r="N10" s="170" t="s">
        <v>214</v>
      </c>
      <c r="O10" s="170" t="s">
        <v>215</v>
      </c>
      <c r="P10" s="170" t="s">
        <v>216</v>
      </c>
      <c r="Q10" s="170" t="s">
        <v>217</v>
      </c>
      <c r="R10" s="170" t="s">
        <v>218</v>
      </c>
      <c r="S10" s="170" t="s">
        <v>219</v>
      </c>
      <c r="T10" s="170" t="s">
        <v>220</v>
      </c>
      <c r="U10" s="170" t="s">
        <v>221</v>
      </c>
      <c r="V10" s="170" t="s">
        <v>222</v>
      </c>
      <c r="W10" s="170" t="s">
        <v>223</v>
      </c>
      <c r="X10" s="170" t="s">
        <v>224</v>
      </c>
      <c r="Y10" s="170" t="s">
        <v>225</v>
      </c>
      <c r="Z10" s="170" t="s">
        <v>226</v>
      </c>
      <c r="AA10" s="170" t="s">
        <v>227</v>
      </c>
      <c r="AB10" s="170" t="s">
        <v>228</v>
      </c>
      <c r="AC10" s="170" t="s">
        <v>229</v>
      </c>
      <c r="AD10" s="170" t="s">
        <v>230</v>
      </c>
      <c r="AE10" s="170" t="s">
        <v>231</v>
      </c>
      <c r="AF10" s="170" t="s">
        <v>232</v>
      </c>
      <c r="AG10" s="170" t="s">
        <v>233</v>
      </c>
      <c r="AH10" s="170" t="s">
        <v>234</v>
      </c>
      <c r="AI10" s="170" t="s">
        <v>235</v>
      </c>
      <c r="AJ10" s="170" t="s">
        <v>236</v>
      </c>
      <c r="AK10" s="170" t="s">
        <v>237</v>
      </c>
      <c r="AL10" s="170" t="s">
        <v>238</v>
      </c>
      <c r="AM10" s="170" t="s">
        <v>239</v>
      </c>
      <c r="AN10" s="170" t="s">
        <v>240</v>
      </c>
      <c r="AO10" s="170" t="s">
        <v>241</v>
      </c>
    </row>
    <row r="12" spans="1:41">
      <c r="G12" s="22" t="s">
        <v>242</v>
      </c>
      <c r="K12" s="167" t="s">
        <v>243</v>
      </c>
      <c r="L12" s="210">
        <v>365</v>
      </c>
      <c r="M12" s="210">
        <v>365</v>
      </c>
      <c r="N12" s="210">
        <v>365</v>
      </c>
      <c r="O12" s="210">
        <v>366</v>
      </c>
      <c r="P12" s="210">
        <v>365</v>
      </c>
      <c r="Q12" s="210">
        <v>365</v>
      </c>
      <c r="R12" s="210">
        <v>365</v>
      </c>
      <c r="S12" s="210">
        <v>366</v>
      </c>
      <c r="T12" s="210">
        <v>365</v>
      </c>
      <c r="U12" s="210">
        <v>365</v>
      </c>
      <c r="V12" s="210">
        <v>365</v>
      </c>
      <c r="W12" s="210">
        <v>366</v>
      </c>
      <c r="X12" s="210">
        <v>365</v>
      </c>
      <c r="Y12" s="210">
        <v>365</v>
      </c>
      <c r="Z12" s="210">
        <v>365</v>
      </c>
      <c r="AA12" s="210">
        <v>366</v>
      </c>
      <c r="AB12" s="210">
        <v>365</v>
      </c>
      <c r="AC12" s="210">
        <v>365</v>
      </c>
      <c r="AD12" s="210">
        <v>365</v>
      </c>
      <c r="AE12" s="210">
        <v>366</v>
      </c>
      <c r="AF12" s="210">
        <v>365</v>
      </c>
      <c r="AG12" s="210">
        <v>365</v>
      </c>
      <c r="AH12" s="210">
        <v>365</v>
      </c>
      <c r="AI12" s="210">
        <v>366</v>
      </c>
      <c r="AJ12" s="210">
        <v>365</v>
      </c>
      <c r="AK12" s="210">
        <v>365</v>
      </c>
      <c r="AL12" s="210">
        <v>365</v>
      </c>
      <c r="AM12" s="210">
        <v>366</v>
      </c>
      <c r="AN12" s="210">
        <v>365</v>
      </c>
      <c r="AO12" s="210">
        <v>365</v>
      </c>
    </row>
    <row r="13" spans="1:41">
      <c r="G13" s="22" t="s">
        <v>244</v>
      </c>
      <c r="K13" s="167" t="s">
        <v>243</v>
      </c>
      <c r="L13" s="211">
        <f>'Inputs &amp; Assumptions'!$L$65</f>
        <v>11930793</v>
      </c>
      <c r="M13" s="206">
        <f>L16</f>
        <v>11158303.35</v>
      </c>
      <c r="N13" s="206">
        <f t="shared" ref="N13:AJ13" si="0">M16</f>
        <v>10424438.182499999</v>
      </c>
      <c r="O13" s="206">
        <f t="shared" si="0"/>
        <v>9727266.2733749989</v>
      </c>
      <c r="P13" s="206">
        <f t="shared" si="0"/>
        <v>9063138.4026824981</v>
      </c>
      <c r="Q13" s="206">
        <f t="shared" si="0"/>
        <v>8433940.754697185</v>
      </c>
      <c r="R13" s="206">
        <f t="shared" si="0"/>
        <v>7836202.9891111385</v>
      </c>
      <c r="S13" s="206">
        <f t="shared" si="0"/>
        <v>7268352.1118043941</v>
      </c>
      <c r="T13" s="206">
        <f t="shared" si="0"/>
        <v>6727415.8103261609</v>
      </c>
      <c r="U13" s="206">
        <f t="shared" si="0"/>
        <v>6214930.393556824</v>
      </c>
      <c r="V13" s="206">
        <f t="shared" si="0"/>
        <v>5728069.2476259544</v>
      </c>
      <c r="W13" s="206">
        <f t="shared" si="0"/>
        <v>5265551.1589916283</v>
      </c>
      <c r="X13" s="206">
        <f t="shared" si="0"/>
        <v>4824955.1605857238</v>
      </c>
      <c r="Y13" s="206">
        <f t="shared" si="0"/>
        <v>4407532.5855932441</v>
      </c>
      <c r="Z13" s="206">
        <f t="shared" si="0"/>
        <v>4010981.1393503887</v>
      </c>
      <c r="AA13" s="206">
        <f t="shared" si="0"/>
        <v>3634257.265419676</v>
      </c>
      <c r="AB13" s="206">
        <f t="shared" si="0"/>
        <v>3275389.0709930765</v>
      </c>
      <c r="AC13" s="206">
        <f t="shared" si="0"/>
        <v>2935395.7747706082</v>
      </c>
      <c r="AD13" s="206">
        <f t="shared" si="0"/>
        <v>2612402.1433592634</v>
      </c>
      <c r="AE13" s="206">
        <f t="shared" si="0"/>
        <v>2305558.1935184859</v>
      </c>
      <c r="AF13" s="206">
        <f t="shared" si="0"/>
        <v>2013257.8062318056</v>
      </c>
      <c r="AG13" s="206">
        <f t="shared" si="0"/>
        <v>1736331.1415005038</v>
      </c>
      <c r="AH13" s="206">
        <f t="shared" si="0"/>
        <v>1473250.8100057673</v>
      </c>
      <c r="AI13" s="206">
        <f t="shared" si="0"/>
        <v>1223324.4950857675</v>
      </c>
      <c r="AJ13" s="206">
        <f t="shared" si="0"/>
        <v>985244.00276334584</v>
      </c>
      <c r="AK13" s="206">
        <f t="shared" ref="AK13:AO13" si="1">AJ16</f>
        <v>759685.50354804611</v>
      </c>
      <c r="AL13" s="206">
        <f t="shared" si="1"/>
        <v>545404.92929351132</v>
      </c>
      <c r="AM13" s="206">
        <f t="shared" si="1"/>
        <v>341838.38375170331</v>
      </c>
      <c r="AN13" s="206">
        <f t="shared" si="1"/>
        <v>147920.33475201391</v>
      </c>
      <c r="AO13" s="206">
        <f t="shared" si="1"/>
        <v>0</v>
      </c>
    </row>
    <row r="14" spans="1:41">
      <c r="G14" s="22" t="s">
        <v>245</v>
      </c>
      <c r="K14" s="212">
        <f>'Inputs &amp; Assumptions'!L66</f>
        <v>2227.8000000000002</v>
      </c>
      <c r="L14" s="206">
        <f>K14*(1-'Inputs &amp; Assumptions'!$L$67)</f>
        <v>2116.41</v>
      </c>
      <c r="M14" s="206">
        <f>L14*(1-'Inputs &amp; Assumptions'!$L$67)</f>
        <v>2010.5894999999998</v>
      </c>
      <c r="N14" s="206">
        <f>M14*(1-'Inputs &amp; Assumptions'!$L$67)</f>
        <v>1910.0600249999998</v>
      </c>
      <c r="O14" s="206">
        <f>N14*(1-'Inputs &amp; Assumptions'!$L$67)</f>
        <v>1814.5570237499996</v>
      </c>
      <c r="P14" s="206">
        <f>O14*(1-'Inputs &amp; Assumptions'!$L$67)</f>
        <v>1723.8291725624995</v>
      </c>
      <c r="Q14" s="206">
        <f>P14*(1-'Inputs &amp; Assumptions'!$L$67)</f>
        <v>1637.6377139343745</v>
      </c>
      <c r="R14" s="206">
        <f>Q14*(1-'Inputs &amp; Assumptions'!$L$67)</f>
        <v>1555.7558282376556</v>
      </c>
      <c r="S14" s="206">
        <f>R14*(1-'Inputs &amp; Assumptions'!$L$67)</f>
        <v>1477.9680368257727</v>
      </c>
      <c r="T14" s="206">
        <f>S14*(1-'Inputs &amp; Assumptions'!$L$67)</f>
        <v>1404.0696349844841</v>
      </c>
      <c r="U14" s="206">
        <f>T14*(1-'Inputs &amp; Assumptions'!$L$67)</f>
        <v>1333.8661532352598</v>
      </c>
      <c r="V14" s="206">
        <f>U14*(1-'Inputs &amp; Assumptions'!$L$67)</f>
        <v>1267.1728455734967</v>
      </c>
      <c r="W14" s="206">
        <f>V14*(1-'Inputs &amp; Assumptions'!$L$67)</f>
        <v>1203.8142032948219</v>
      </c>
      <c r="X14" s="206">
        <f>W14*(1-'Inputs &amp; Assumptions'!$L$67)</f>
        <v>1143.6234931300808</v>
      </c>
      <c r="Y14" s="206">
        <f>X14*(1-'Inputs &amp; Assumptions'!$L$67)</f>
        <v>1086.4423184735767</v>
      </c>
      <c r="Z14" s="206">
        <f>Y14*(1-'Inputs &amp; Assumptions'!$L$67)</f>
        <v>1032.1202025498978</v>
      </c>
      <c r="AA14" s="206">
        <f>Z14*(1-'Inputs &amp; Assumptions'!$L$67)</f>
        <v>980.51419242240286</v>
      </c>
      <c r="AB14" s="206">
        <f>AA14*(1-'Inputs &amp; Assumptions'!$L$67)</f>
        <v>931.48848280128266</v>
      </c>
      <c r="AC14" s="206">
        <f>AB14*(1-'Inputs &amp; Assumptions'!$L$67)</f>
        <v>884.91405866121852</v>
      </c>
      <c r="AD14" s="206">
        <f>AC14*(1-'Inputs &amp; Assumptions'!$L$67)</f>
        <v>840.66835572815751</v>
      </c>
      <c r="AE14" s="206">
        <f>AD14*(1-'Inputs &amp; Assumptions'!$L$67)</f>
        <v>798.63493794174963</v>
      </c>
      <c r="AF14" s="206">
        <f>AE14*(1-'Inputs &amp; Assumptions'!$L$67)</f>
        <v>758.70319104466216</v>
      </c>
      <c r="AG14" s="206">
        <f>AF14*(1-'Inputs &amp; Assumptions'!$L$67)</f>
        <v>720.76803149242903</v>
      </c>
      <c r="AH14" s="206">
        <f>AG14*(1-'Inputs &amp; Assumptions'!$L$67)</f>
        <v>684.72962991780753</v>
      </c>
      <c r="AI14" s="206">
        <f>AH14*(1-'Inputs &amp; Assumptions'!$L$67)</f>
        <v>650.49314842191711</v>
      </c>
      <c r="AJ14" s="206">
        <f>AI14*(1-'Inputs &amp; Assumptions'!$L$67)</f>
        <v>617.96849100082125</v>
      </c>
      <c r="AK14" s="206">
        <f>AJ14*(1-'Inputs &amp; Assumptions'!$L$67)</f>
        <v>587.07006645078013</v>
      </c>
      <c r="AL14" s="206">
        <f>AK14*(1-'Inputs &amp; Assumptions'!$L$67)</f>
        <v>557.71656312824109</v>
      </c>
      <c r="AM14" s="206">
        <f>AL14*(1-'Inputs &amp; Assumptions'!$L$67)</f>
        <v>529.83073497182897</v>
      </c>
      <c r="AN14" s="206">
        <f>AM14*(1-'Inputs &amp; Assumptions'!$L$67)</f>
        <v>503.33919822323747</v>
      </c>
      <c r="AO14" s="206">
        <f>AN14*(1-'Inputs &amp; Assumptions'!$L$67)</f>
        <v>478.17223831207559</v>
      </c>
    </row>
    <row r="15" spans="1:41">
      <c r="G15" s="22" t="s">
        <v>246</v>
      </c>
      <c r="K15" s="167" t="s">
        <v>243</v>
      </c>
      <c r="L15" s="206">
        <f t="shared" ref="L15:AO15" si="2">MIN(L14*L12,L13)</f>
        <v>772489.64999999991</v>
      </c>
      <c r="M15" s="206">
        <f t="shared" si="2"/>
        <v>733865.16749999998</v>
      </c>
      <c r="N15" s="206">
        <f t="shared" si="2"/>
        <v>697171.90912499989</v>
      </c>
      <c r="O15" s="206">
        <f t="shared" si="2"/>
        <v>664127.87069249991</v>
      </c>
      <c r="P15" s="206">
        <f t="shared" si="2"/>
        <v>629197.64798531227</v>
      </c>
      <c r="Q15" s="206">
        <f t="shared" si="2"/>
        <v>597737.76558604673</v>
      </c>
      <c r="R15" s="206">
        <f t="shared" si="2"/>
        <v>567850.87730674434</v>
      </c>
      <c r="S15" s="206">
        <f t="shared" si="2"/>
        <v>540936.30147823284</v>
      </c>
      <c r="T15" s="206">
        <f t="shared" si="2"/>
        <v>512485.41676933668</v>
      </c>
      <c r="U15" s="206">
        <f t="shared" si="2"/>
        <v>486861.14593086985</v>
      </c>
      <c r="V15" s="206">
        <f t="shared" si="2"/>
        <v>462518.0886343263</v>
      </c>
      <c r="W15" s="206">
        <f t="shared" si="2"/>
        <v>440595.9984059048</v>
      </c>
      <c r="X15" s="206">
        <f t="shared" si="2"/>
        <v>417422.57499247947</v>
      </c>
      <c r="Y15" s="206">
        <f t="shared" si="2"/>
        <v>396551.44624285551</v>
      </c>
      <c r="Z15" s="206">
        <f t="shared" si="2"/>
        <v>376723.8739307127</v>
      </c>
      <c r="AA15" s="206">
        <f t="shared" si="2"/>
        <v>358868.19442659942</v>
      </c>
      <c r="AB15" s="206">
        <f t="shared" si="2"/>
        <v>339993.2962224682</v>
      </c>
      <c r="AC15" s="206">
        <f t="shared" si="2"/>
        <v>322993.63141134474</v>
      </c>
      <c r="AD15" s="206">
        <f t="shared" si="2"/>
        <v>306843.9498407775</v>
      </c>
      <c r="AE15" s="206">
        <f t="shared" si="2"/>
        <v>292300.38728668034</v>
      </c>
      <c r="AF15" s="206">
        <f t="shared" si="2"/>
        <v>276926.66473130172</v>
      </c>
      <c r="AG15" s="206">
        <f t="shared" si="2"/>
        <v>263080.3314947366</v>
      </c>
      <c r="AH15" s="206">
        <f t="shared" si="2"/>
        <v>249926.31491999974</v>
      </c>
      <c r="AI15" s="206">
        <f t="shared" si="2"/>
        <v>238080.49232242166</v>
      </c>
      <c r="AJ15" s="206">
        <f t="shared" si="2"/>
        <v>225558.49921529976</v>
      </c>
      <c r="AK15" s="206">
        <f t="shared" si="2"/>
        <v>214280.57425453476</v>
      </c>
      <c r="AL15" s="206">
        <f t="shared" si="2"/>
        <v>203566.54554180801</v>
      </c>
      <c r="AM15" s="206">
        <f t="shared" si="2"/>
        <v>193918.0489996894</v>
      </c>
      <c r="AN15" s="206">
        <f t="shared" si="2"/>
        <v>147920.33475201391</v>
      </c>
      <c r="AO15" s="206">
        <f t="shared" si="2"/>
        <v>0</v>
      </c>
    </row>
    <row r="16" spans="1:41">
      <c r="G16" s="22" t="s">
        <v>247</v>
      </c>
      <c r="K16" s="167" t="s">
        <v>243</v>
      </c>
      <c r="L16" s="206">
        <f>L13-L15</f>
        <v>11158303.35</v>
      </c>
      <c r="M16" s="206">
        <f>M13-M15</f>
        <v>10424438.182499999</v>
      </c>
      <c r="N16" s="206">
        <f t="shared" ref="N16:AJ16" si="3">N13-N15</f>
        <v>9727266.2733749989</v>
      </c>
      <c r="O16" s="206">
        <f t="shared" si="3"/>
        <v>9063138.4026824981</v>
      </c>
      <c r="P16" s="206">
        <f t="shared" si="3"/>
        <v>8433940.754697185</v>
      </c>
      <c r="Q16" s="206">
        <f t="shared" si="3"/>
        <v>7836202.9891111385</v>
      </c>
      <c r="R16" s="206">
        <f t="shared" si="3"/>
        <v>7268352.1118043941</v>
      </c>
      <c r="S16" s="206">
        <f t="shared" si="3"/>
        <v>6727415.8103261609</v>
      </c>
      <c r="T16" s="206">
        <f t="shared" si="3"/>
        <v>6214930.393556824</v>
      </c>
      <c r="U16" s="206">
        <f t="shared" si="3"/>
        <v>5728069.2476259544</v>
      </c>
      <c r="V16" s="206">
        <f t="shared" si="3"/>
        <v>5265551.1589916283</v>
      </c>
      <c r="W16" s="206">
        <f t="shared" si="3"/>
        <v>4824955.1605857238</v>
      </c>
      <c r="X16" s="206">
        <f t="shared" si="3"/>
        <v>4407532.5855932441</v>
      </c>
      <c r="Y16" s="206">
        <f t="shared" si="3"/>
        <v>4010981.1393503887</v>
      </c>
      <c r="Z16" s="206">
        <f t="shared" si="3"/>
        <v>3634257.265419676</v>
      </c>
      <c r="AA16" s="206">
        <f t="shared" si="3"/>
        <v>3275389.0709930765</v>
      </c>
      <c r="AB16" s="206">
        <f t="shared" si="3"/>
        <v>2935395.7747706082</v>
      </c>
      <c r="AC16" s="206">
        <f t="shared" si="3"/>
        <v>2612402.1433592634</v>
      </c>
      <c r="AD16" s="206">
        <f t="shared" si="3"/>
        <v>2305558.1935184859</v>
      </c>
      <c r="AE16" s="206">
        <f t="shared" si="3"/>
        <v>2013257.8062318056</v>
      </c>
      <c r="AF16" s="206">
        <f t="shared" si="3"/>
        <v>1736331.1415005038</v>
      </c>
      <c r="AG16" s="206">
        <f t="shared" si="3"/>
        <v>1473250.8100057673</v>
      </c>
      <c r="AH16" s="206">
        <f t="shared" si="3"/>
        <v>1223324.4950857675</v>
      </c>
      <c r="AI16" s="206">
        <f t="shared" si="3"/>
        <v>985244.00276334584</v>
      </c>
      <c r="AJ16" s="206">
        <f t="shared" si="3"/>
        <v>759685.50354804611</v>
      </c>
      <c r="AK16" s="206">
        <f t="shared" ref="AK16" si="4">AK13-AK15</f>
        <v>545404.92929351132</v>
      </c>
      <c r="AL16" s="206">
        <f t="shared" ref="AL16" si="5">AL13-AL15</f>
        <v>341838.38375170331</v>
      </c>
      <c r="AM16" s="206">
        <f t="shared" ref="AM16" si="6">AM13-AM15</f>
        <v>147920.33475201391</v>
      </c>
      <c r="AN16" s="206">
        <f t="shared" ref="AN16" si="7">AN13-AN15</f>
        <v>0</v>
      </c>
      <c r="AO16" s="206">
        <f t="shared" ref="AO16" si="8">AO13-AO15</f>
        <v>0</v>
      </c>
    </row>
    <row r="20" spans="1:41">
      <c r="A20" s="170"/>
      <c r="B20" s="170"/>
      <c r="C20" s="170"/>
      <c r="D20" s="170"/>
      <c r="E20" s="170"/>
      <c r="F20" s="170" t="s">
        <v>248</v>
      </c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</row>
    <row r="22" spans="1:41">
      <c r="B22" s="37" t="s">
        <v>20</v>
      </c>
      <c r="C22" s="36" t="s">
        <v>249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4" spans="1:41">
      <c r="G24" s="22" t="s">
        <v>250</v>
      </c>
      <c r="L24" s="206">
        <f>L15</f>
        <v>772489.64999999991</v>
      </c>
      <c r="M24" s="206">
        <f t="shared" ref="M24:AO24" si="9">M15</f>
        <v>733865.16749999998</v>
      </c>
      <c r="N24" s="206">
        <f t="shared" si="9"/>
        <v>697171.90912499989</v>
      </c>
      <c r="O24" s="206">
        <f t="shared" si="9"/>
        <v>664127.87069249991</v>
      </c>
      <c r="P24" s="206">
        <f t="shared" si="9"/>
        <v>629197.64798531227</v>
      </c>
      <c r="Q24" s="206">
        <f t="shared" si="9"/>
        <v>597737.76558604673</v>
      </c>
      <c r="R24" s="206">
        <f t="shared" si="9"/>
        <v>567850.87730674434</v>
      </c>
      <c r="S24" s="206">
        <f t="shared" si="9"/>
        <v>540936.30147823284</v>
      </c>
      <c r="T24" s="206">
        <f t="shared" si="9"/>
        <v>512485.41676933668</v>
      </c>
      <c r="U24" s="206">
        <f t="shared" si="9"/>
        <v>486861.14593086985</v>
      </c>
      <c r="V24" s="206">
        <f t="shared" si="9"/>
        <v>462518.0886343263</v>
      </c>
      <c r="W24" s="206">
        <f t="shared" si="9"/>
        <v>440595.9984059048</v>
      </c>
      <c r="X24" s="206">
        <f t="shared" si="9"/>
        <v>417422.57499247947</v>
      </c>
      <c r="Y24" s="206">
        <f t="shared" si="9"/>
        <v>396551.44624285551</v>
      </c>
      <c r="Z24" s="206">
        <f t="shared" si="9"/>
        <v>376723.8739307127</v>
      </c>
      <c r="AA24" s="206">
        <f t="shared" si="9"/>
        <v>358868.19442659942</v>
      </c>
      <c r="AB24" s="206">
        <f t="shared" si="9"/>
        <v>339993.2962224682</v>
      </c>
      <c r="AC24" s="206">
        <f t="shared" si="9"/>
        <v>322993.63141134474</v>
      </c>
      <c r="AD24" s="206">
        <f t="shared" si="9"/>
        <v>306843.9498407775</v>
      </c>
      <c r="AE24" s="206">
        <f t="shared" si="9"/>
        <v>292300.38728668034</v>
      </c>
      <c r="AF24" s="206">
        <f t="shared" si="9"/>
        <v>276926.66473130172</v>
      </c>
      <c r="AG24" s="206">
        <f t="shared" si="9"/>
        <v>263080.3314947366</v>
      </c>
      <c r="AH24" s="206">
        <f t="shared" si="9"/>
        <v>249926.31491999974</v>
      </c>
      <c r="AI24" s="206">
        <f t="shared" si="9"/>
        <v>238080.49232242166</v>
      </c>
      <c r="AJ24" s="206">
        <f t="shared" si="9"/>
        <v>225558.49921529976</v>
      </c>
      <c r="AK24" s="206">
        <f t="shared" si="9"/>
        <v>214280.57425453476</v>
      </c>
      <c r="AL24" s="206">
        <f t="shared" si="9"/>
        <v>203566.54554180801</v>
      </c>
      <c r="AM24" s="206">
        <f t="shared" si="9"/>
        <v>193918.0489996894</v>
      </c>
      <c r="AN24" s="206">
        <f t="shared" si="9"/>
        <v>147920.33475201391</v>
      </c>
      <c r="AO24" s="206">
        <f t="shared" si="9"/>
        <v>0</v>
      </c>
    </row>
    <row r="25" spans="1:41">
      <c r="G25" s="22" t="s">
        <v>251</v>
      </c>
      <c r="L25" s="206">
        <f>L24*'Inputs &amp; Assumptions'!$L$58</f>
        <v>529155.41024999996</v>
      </c>
      <c r="M25" s="206">
        <f>M24*'Inputs &amp; Assumptions'!$L$58</f>
        <v>502697.63973750005</v>
      </c>
      <c r="N25" s="206">
        <f>N24*'Inputs &amp; Assumptions'!$L$58</f>
        <v>477562.75775062497</v>
      </c>
      <c r="O25" s="206">
        <f>O24*'Inputs &amp; Assumptions'!$L$58</f>
        <v>454927.5914243625</v>
      </c>
      <c r="P25" s="206">
        <f>P24*'Inputs &amp; Assumptions'!$L$58</f>
        <v>431000.38886993896</v>
      </c>
      <c r="Q25" s="206">
        <f>Q24*'Inputs &amp; Assumptions'!$L$58</f>
        <v>409450.36942644202</v>
      </c>
      <c r="R25" s="206">
        <f>R24*'Inputs &amp; Assumptions'!$L$58</f>
        <v>388977.85095511988</v>
      </c>
      <c r="S25" s="206">
        <f>S24*'Inputs &amp; Assumptions'!$L$58</f>
        <v>370541.36651258951</v>
      </c>
      <c r="T25" s="206">
        <f>T24*'Inputs &amp; Assumptions'!$L$58</f>
        <v>351052.51048699563</v>
      </c>
      <c r="U25" s="206">
        <f>U24*'Inputs &amp; Assumptions'!$L$58</f>
        <v>333499.88496264588</v>
      </c>
      <c r="V25" s="206">
        <f>V24*'Inputs &amp; Assumptions'!$L$58</f>
        <v>316824.89071451355</v>
      </c>
      <c r="W25" s="206">
        <f>W24*'Inputs &amp; Assumptions'!$L$58</f>
        <v>301808.25890804484</v>
      </c>
      <c r="X25" s="206">
        <f>X24*'Inputs &amp; Assumptions'!$L$58</f>
        <v>285934.46386984846</v>
      </c>
      <c r="Y25" s="206">
        <f>Y24*'Inputs &amp; Assumptions'!$L$58</f>
        <v>271637.74067635607</v>
      </c>
      <c r="Z25" s="206">
        <f>Z24*'Inputs &amp; Assumptions'!$L$58</f>
        <v>258055.85364253822</v>
      </c>
      <c r="AA25" s="206">
        <f>AA24*'Inputs &amp; Assumptions'!$L$58</f>
        <v>245824.71318222061</v>
      </c>
      <c r="AB25" s="206">
        <f>AB24*'Inputs &amp; Assumptions'!$L$58</f>
        <v>232895.40791239074</v>
      </c>
      <c r="AC25" s="206">
        <f>AC24*'Inputs &amp; Assumptions'!$L$58</f>
        <v>221250.63751677118</v>
      </c>
      <c r="AD25" s="206">
        <f>AD24*'Inputs &amp; Assumptions'!$L$58</f>
        <v>210188.1056409326</v>
      </c>
      <c r="AE25" s="206">
        <f>AE24*'Inputs &amp; Assumptions'!$L$58</f>
        <v>200225.76529137604</v>
      </c>
      <c r="AF25" s="206">
        <f>AF24*'Inputs &amp; Assumptions'!$L$58</f>
        <v>189694.7653409417</v>
      </c>
      <c r="AG25" s="206">
        <f>AG24*'Inputs &amp; Assumptions'!$L$58</f>
        <v>180210.0270738946</v>
      </c>
      <c r="AH25" s="206">
        <f>AH24*'Inputs &amp; Assumptions'!$L$58</f>
        <v>171199.52572019983</v>
      </c>
      <c r="AI25" s="206">
        <f>AI24*'Inputs &amp; Assumptions'!$L$58</f>
        <v>163085.13724085886</v>
      </c>
      <c r="AJ25" s="206">
        <f>AJ24*'Inputs &amp; Assumptions'!$L$58</f>
        <v>154507.57196248035</v>
      </c>
      <c r="AK25" s="206">
        <f>AK24*'Inputs &amp; Assumptions'!$L$58</f>
        <v>146782.19336435632</v>
      </c>
      <c r="AL25" s="206">
        <f>AL24*'Inputs &amp; Assumptions'!$L$58</f>
        <v>139443.08369613849</v>
      </c>
      <c r="AM25" s="206">
        <f>AM24*'Inputs &amp; Assumptions'!$L$58</f>
        <v>132833.86356478726</v>
      </c>
      <c r="AN25" s="206">
        <f>AN24*'Inputs &amp; Assumptions'!$L$58</f>
        <v>101325.42930512954</v>
      </c>
      <c r="AO25" s="206">
        <f>AO24*'Inputs &amp; Assumptions'!$L$58</f>
        <v>0</v>
      </c>
    </row>
    <row r="26" spans="1:41">
      <c r="G26" s="22" t="s">
        <v>252</v>
      </c>
      <c r="L26" s="206">
        <f>L24*'Inputs &amp; Assumptions'!$L$59/'Inputs &amp; Assumptions'!$L$35</f>
        <v>38444.234914999994</v>
      </c>
      <c r="M26" s="206">
        <f>M24*'Inputs &amp; Assumptions'!$L$59/'Inputs &amp; Assumptions'!$L$35</f>
        <v>36522.023169249995</v>
      </c>
      <c r="N26" s="206">
        <f>N24*'Inputs &amp; Assumptions'!$L$59/'Inputs &amp; Assumptions'!$L$35</f>
        <v>34695.922010787493</v>
      </c>
      <c r="O26" s="206">
        <f>O24*'Inputs &amp; Assumptions'!$L$59/'Inputs &amp; Assumptions'!$L$35</f>
        <v>33051.430364796739</v>
      </c>
      <c r="P26" s="206">
        <f>P24*'Inputs &amp; Assumptions'!$L$59/'Inputs &amp; Assumptions'!$L$35</f>
        <v>31313.069614735705</v>
      </c>
      <c r="Q26" s="206">
        <f>Q24*'Inputs &amp; Assumptions'!$L$59/'Inputs &amp; Assumptions'!$L$35</f>
        <v>29747.416133998922</v>
      </c>
      <c r="R26" s="206">
        <f>R24*'Inputs &amp; Assumptions'!$L$59/'Inputs &amp; Assumptions'!$L$35</f>
        <v>28260.045327298973</v>
      </c>
      <c r="S26" s="206">
        <f>S24*'Inputs &amp; Assumptions'!$L$59/'Inputs &amp; Assumptions'!$L$35</f>
        <v>26920.596603566719</v>
      </c>
      <c r="T26" s="206">
        <f>T24*'Inputs &amp; Assumptions'!$L$59/'Inputs &amp; Assumptions'!$L$35</f>
        <v>25504.690907887318</v>
      </c>
      <c r="U26" s="206">
        <f>U24*'Inputs &amp; Assumptions'!$L$59/'Inputs &amp; Assumptions'!$L$35</f>
        <v>24229.456362492954</v>
      </c>
      <c r="V26" s="206">
        <f>V24*'Inputs &amp; Assumptions'!$L$59/'Inputs &amp; Assumptions'!$L$35</f>
        <v>23017.9835443683</v>
      </c>
      <c r="W26" s="206">
        <f>W24*'Inputs &amp; Assumptions'!$L$59/'Inputs &amp; Assumptions'!$L$35</f>
        <v>21926.994187333858</v>
      </c>
      <c r="X26" s="206">
        <f>X24*'Inputs &amp; Assumptions'!$L$59/'Inputs &amp; Assumptions'!$L$35</f>
        <v>20773.730148792394</v>
      </c>
      <c r="Y26" s="206">
        <f>Y24*'Inputs &amp; Assumptions'!$L$59/'Inputs &amp; Assumptions'!$L$35</f>
        <v>19735.043641352775</v>
      </c>
      <c r="Z26" s="206">
        <f>Z24*'Inputs &amp; Assumptions'!$L$59/'Inputs &amp; Assumptions'!$L$35</f>
        <v>18748.291459285134</v>
      </c>
      <c r="AA26" s="206">
        <f>AA24*'Inputs &amp; Assumptions'!$L$59/'Inputs &amp; Assumptions'!$L$35</f>
        <v>17859.673809297095</v>
      </c>
      <c r="AB26" s="206">
        <f>AB24*'Inputs &amp; Assumptions'!$L$59/'Inputs &amp; Assumptions'!$L$35</f>
        <v>16920.333042004833</v>
      </c>
      <c r="AC26" s="206">
        <f>AC24*'Inputs &amp; Assumptions'!$L$59/'Inputs &amp; Assumptions'!$L$35</f>
        <v>16074.316389904589</v>
      </c>
      <c r="AD26" s="206">
        <f>AD24*'Inputs &amp; Assumptions'!$L$59/'Inputs &amp; Assumptions'!$L$35</f>
        <v>15270.60057040936</v>
      </c>
      <c r="AE26" s="206">
        <f>AE24*'Inputs &amp; Assumptions'!$L$59/'Inputs &amp; Assumptions'!$L$35</f>
        <v>14546.815940633789</v>
      </c>
      <c r="AF26" s="206">
        <f>AF24*'Inputs &amp; Assumptions'!$L$59/'Inputs &amp; Assumptions'!$L$35</f>
        <v>13781.717014794447</v>
      </c>
      <c r="AG26" s="206">
        <f>AG24*'Inputs &amp; Assumptions'!$L$59/'Inputs &amp; Assumptions'!$L$35</f>
        <v>13092.631164054723</v>
      </c>
      <c r="AH26" s="206">
        <f>AH24*'Inputs &amp; Assumptions'!$L$59/'Inputs &amp; Assumptions'!$L$35</f>
        <v>12437.999605851985</v>
      </c>
      <c r="AI26" s="206">
        <f>AI24*'Inputs &amp; Assumptions'!$L$59/'Inputs &amp; Assumptions'!$L$35</f>
        <v>11848.472501245851</v>
      </c>
      <c r="AJ26" s="206">
        <f>AJ24*'Inputs &amp; Assumptions'!$L$59/'Inputs &amp; Assumptions'!$L$35</f>
        <v>11225.294644281415</v>
      </c>
      <c r="AK26" s="206">
        <f>AK24*'Inputs &amp; Assumptions'!$L$59/'Inputs &amp; Assumptions'!$L$35</f>
        <v>10664.029912067346</v>
      </c>
      <c r="AL26" s="206">
        <f>AL24*'Inputs &amp; Assumptions'!$L$59/'Inputs &amp; Assumptions'!$L$35</f>
        <v>10130.828416463977</v>
      </c>
      <c r="AM26" s="206">
        <f>AM24*'Inputs &amp; Assumptions'!$L$59/'Inputs &amp; Assumptions'!$L$35</f>
        <v>9650.6549052178761</v>
      </c>
      <c r="AN26" s="206">
        <f>AN24*'Inputs &amp; Assumptions'!$L$59/'Inputs &amp; Assumptions'!$L$35</f>
        <v>7361.501992825225</v>
      </c>
      <c r="AO26" s="206">
        <f>AO24*'Inputs &amp; Assumptions'!$L$59/'Inputs &amp; Assumptions'!$L$35</f>
        <v>0</v>
      </c>
    </row>
    <row r="27" spans="1:41">
      <c r="G27" s="22" t="s">
        <v>253</v>
      </c>
      <c r="L27" s="206">
        <f>L24*'Inputs &amp; Assumptions'!$L$60/'Inputs &amp; Assumptions'!$L$35</f>
        <v>2111.4717099999998</v>
      </c>
      <c r="M27" s="206">
        <f>M24*'Inputs &amp; Assumptions'!$L$60/'Inputs &amp; Assumptions'!$L$35</f>
        <v>2005.8981245000002</v>
      </c>
      <c r="N27" s="206">
        <f>N24*'Inputs &amp; Assumptions'!$L$60/'Inputs &amp; Assumptions'!$L$35</f>
        <v>1905.6032182749998</v>
      </c>
      <c r="O27" s="206">
        <f>O24*'Inputs &amp; Assumptions'!$L$60/'Inputs &amp; Assumptions'!$L$35</f>
        <v>1815.2828465595001</v>
      </c>
      <c r="P27" s="206">
        <f>P24*'Inputs &amp; Assumptions'!$L$60/'Inputs &amp; Assumptions'!$L$35</f>
        <v>1719.8069044931869</v>
      </c>
      <c r="Q27" s="206">
        <f>Q24*'Inputs &amp; Assumptions'!$L$60/'Inputs &amp; Assumptions'!$L$35</f>
        <v>1633.816559268528</v>
      </c>
      <c r="R27" s="206">
        <f>R24*'Inputs &amp; Assumptions'!$L$60/'Inputs &amp; Assumptions'!$L$35</f>
        <v>1552.1257313051012</v>
      </c>
      <c r="S27" s="206">
        <f>S24*'Inputs &amp; Assumptions'!$L$60/'Inputs &amp; Assumptions'!$L$35</f>
        <v>1478.5592240405031</v>
      </c>
      <c r="T27" s="206">
        <f>T24*'Inputs &amp; Assumptions'!$L$60/'Inputs &amp; Assumptions'!$L$35</f>
        <v>1400.7934725028538</v>
      </c>
      <c r="U27" s="206">
        <f>U24*'Inputs &amp; Assumptions'!$L$60/'Inputs &amp; Assumptions'!$L$35</f>
        <v>1330.753798877711</v>
      </c>
      <c r="V27" s="206">
        <f>V24*'Inputs &amp; Assumptions'!$L$60/'Inputs &amp; Assumptions'!$L$35</f>
        <v>1264.2161089338254</v>
      </c>
      <c r="W27" s="206">
        <f>W24*'Inputs &amp; Assumptions'!$L$60/'Inputs &amp; Assumptions'!$L$35</f>
        <v>1204.29572897614</v>
      </c>
      <c r="X27" s="206">
        <f>X24*'Inputs &amp; Assumptions'!$L$60/'Inputs &amp; Assumptions'!$L$35</f>
        <v>1140.9550383127773</v>
      </c>
      <c r="Y27" s="206">
        <f>Y24*'Inputs &amp; Assumptions'!$L$60/'Inputs &amp; Assumptions'!$L$35</f>
        <v>1083.9072863971385</v>
      </c>
      <c r="Z27" s="206">
        <f>Z24*'Inputs &amp; Assumptions'!$L$60/'Inputs &amp; Assumptions'!$L$35</f>
        <v>1029.7119220772813</v>
      </c>
      <c r="AA27" s="206">
        <f>AA24*'Inputs &amp; Assumptions'!$L$60/'Inputs &amp; Assumptions'!$L$35</f>
        <v>980.90639809937181</v>
      </c>
      <c r="AB27" s="206">
        <f>AB24*'Inputs &amp; Assumptions'!$L$60/'Inputs &amp; Assumptions'!$L$35</f>
        <v>929.31500967474642</v>
      </c>
      <c r="AC27" s="206">
        <f>AC24*'Inputs &amp; Assumptions'!$L$60/'Inputs &amp; Assumptions'!$L$35</f>
        <v>882.84925919100897</v>
      </c>
      <c r="AD27" s="206">
        <f>AD24*'Inputs &amp; Assumptions'!$L$60/'Inputs &amp; Assumptions'!$L$35</f>
        <v>838.70679623145861</v>
      </c>
      <c r="AE27" s="206">
        <f>AE24*'Inputs &amp; Assumptions'!$L$60/'Inputs &amp; Assumptions'!$L$35</f>
        <v>798.9543919169264</v>
      </c>
      <c r="AF27" s="206">
        <f>AF24*'Inputs &amp; Assumptions'!$L$60/'Inputs &amp; Assumptions'!$L$35</f>
        <v>756.93288359889141</v>
      </c>
      <c r="AG27" s="206">
        <f>AG24*'Inputs &amp; Assumptions'!$L$60/'Inputs &amp; Assumptions'!$L$35</f>
        <v>719.08623941894678</v>
      </c>
      <c r="AH27" s="206">
        <f>AH24*'Inputs &amp; Assumptions'!$L$60/'Inputs &amp; Assumptions'!$L$35</f>
        <v>683.13192744799937</v>
      </c>
      <c r="AI27" s="206">
        <f>AI24*'Inputs &amp; Assumptions'!$L$60/'Inputs &amp; Assumptions'!$L$35</f>
        <v>650.75334568128596</v>
      </c>
      <c r="AJ27" s="206">
        <f>AJ24*'Inputs &amp; Assumptions'!$L$60/'Inputs &amp; Assumptions'!$L$35</f>
        <v>616.52656452181941</v>
      </c>
      <c r="AK27" s="206">
        <f>AK24*'Inputs &amp; Assumptions'!$L$60/'Inputs &amp; Assumptions'!$L$35</f>
        <v>585.70023629572836</v>
      </c>
      <c r="AL27" s="206">
        <f>AL24*'Inputs &amp; Assumptions'!$L$60/'Inputs &amp; Assumptions'!$L$35</f>
        <v>556.4152244809419</v>
      </c>
      <c r="AM27" s="206">
        <f>AM24*'Inputs &amp; Assumptions'!$L$60/'Inputs &amp; Assumptions'!$L$35</f>
        <v>530.04266726581773</v>
      </c>
      <c r="AN27" s="206">
        <f>AN24*'Inputs &amp; Assumptions'!$L$60/'Inputs &amp; Assumptions'!$L$35</f>
        <v>404.31558165550473</v>
      </c>
      <c r="AO27" s="206">
        <f>AO24*'Inputs &amp; Assumptions'!$L$60/'Inputs &amp; Assumptions'!$L$35</f>
        <v>0</v>
      </c>
    </row>
    <row r="29" spans="1:41">
      <c r="B29" s="37" t="s">
        <v>188</v>
      </c>
      <c r="C29" s="36" t="s">
        <v>254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1" spans="1:41">
      <c r="C31" s="41" t="s">
        <v>21</v>
      </c>
      <c r="D31" s="42" t="s">
        <v>255</v>
      </c>
      <c r="E31" s="42"/>
      <c r="F31" s="175"/>
      <c r="G31" s="175"/>
      <c r="H31" s="175"/>
      <c r="I31" s="175"/>
      <c r="J31" s="50"/>
      <c r="K31" s="175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</row>
    <row r="33" spans="2:41">
      <c r="G33" s="22" t="s">
        <v>256</v>
      </c>
      <c r="L33" s="209">
        <f ca="1">L25*'Commodity Price Assumptions'!O10/1000</f>
        <v>1852.043935875</v>
      </c>
      <c r="M33" s="209">
        <f ca="1">M25*'Commodity Price Assumptions'!P10/1000</f>
        <v>1930.358936592</v>
      </c>
      <c r="N33" s="209">
        <f ca="1">N25*'Commodity Price Assumptions'!Q10/1000</f>
        <v>1838.616617339906</v>
      </c>
      <c r="O33" s="209">
        <f ca="1">O25*'Commodity Price Assumptions'!R10/1000</f>
        <v>1733.2741233268209</v>
      </c>
      <c r="P33" s="209">
        <f ca="1">P25*'Commodity Price Assumptions'!$S$10/1000</f>
        <v>1655.0414932605654</v>
      </c>
      <c r="Q33" s="209">
        <f ca="1">Q25*'Commodity Price Assumptions'!$S$10/1000</f>
        <v>1572.2894185975374</v>
      </c>
      <c r="R33" s="209">
        <f ca="1">R25*'Commodity Price Assumptions'!$S$10/1000</f>
        <v>1493.6749476676603</v>
      </c>
      <c r="S33" s="209">
        <f ca="1">S25*'Commodity Price Assumptions'!$S$10/1000</f>
        <v>1422.8788474083435</v>
      </c>
      <c r="T33" s="209">
        <f ca="1">T25*'Commodity Price Assumptions'!$S$10/1000</f>
        <v>1348.0416402700632</v>
      </c>
      <c r="U33" s="209">
        <f ca="1">U25*'Commodity Price Assumptions'!$S$10/1000</f>
        <v>1280.6395582565603</v>
      </c>
      <c r="V33" s="209">
        <f ca="1">V25*'Commodity Price Assumptions'!$S$10/1000</f>
        <v>1216.607580343732</v>
      </c>
      <c r="W33" s="209">
        <f ca="1">W25*'Commodity Price Assumptions'!$S$10/1000</f>
        <v>1158.9437142068921</v>
      </c>
      <c r="X33" s="209">
        <f ca="1">X25*'Commodity Price Assumptions'!$S$10/1000</f>
        <v>1097.988341260218</v>
      </c>
      <c r="Y33" s="209">
        <f ca="1">Y25*'Commodity Price Assumptions'!$S$10/1000</f>
        <v>1043.0889241972072</v>
      </c>
      <c r="Z33" s="209">
        <f ca="1">Z25*'Commodity Price Assumptions'!$S$10/1000</f>
        <v>990.93447798734667</v>
      </c>
      <c r="AA33" s="209">
        <f ca="1">AA25*'Commodity Price Assumptions'!$S$10/1000</f>
        <v>943.96689861972709</v>
      </c>
      <c r="AB33" s="209">
        <f ca="1">AB25*'Commodity Price Assumptions'!$S$10/1000</f>
        <v>894.31836638358038</v>
      </c>
      <c r="AC33" s="209">
        <f ca="1">AC25*'Commodity Price Assumptions'!$S$10/1000</f>
        <v>849.6024480644013</v>
      </c>
      <c r="AD33" s="209">
        <f ca="1">AD25*'Commodity Price Assumptions'!$S$10/1000</f>
        <v>807.12232566118109</v>
      </c>
      <c r="AE33" s="209">
        <f ca="1">AE25*'Commodity Price Assumptions'!$S$10/1000</f>
        <v>768.86693871888406</v>
      </c>
      <c r="AF33" s="209">
        <f ca="1">AF25*'Commodity Price Assumptions'!$S$10/1000</f>
        <v>728.42789890921608</v>
      </c>
      <c r="AG33" s="209">
        <f ca="1">AG25*'Commodity Price Assumptions'!$S$10/1000</f>
        <v>692.00650396375522</v>
      </c>
      <c r="AH33" s="209">
        <f ca="1">AH25*'Commodity Price Assumptions'!$S$10/1000</f>
        <v>657.40617876556735</v>
      </c>
      <c r="AI33" s="209">
        <f ca="1">AI25*'Commodity Price Assumptions'!$S$10/1000</f>
        <v>626.246927004898</v>
      </c>
      <c r="AJ33" s="209">
        <f ca="1">AJ25*'Commodity Price Assumptions'!$S$10/1000</f>
        <v>593.3090763359246</v>
      </c>
      <c r="AK33" s="209">
        <f ca="1">AK25*'Commodity Price Assumptions'!$S$10/1000</f>
        <v>563.64362251912826</v>
      </c>
      <c r="AL33" s="209">
        <f ca="1">AL25*'Commodity Price Assumptions'!$S$10/1000</f>
        <v>535.46144139317175</v>
      </c>
      <c r="AM33" s="209">
        <f ca="1">AM25*'Commodity Price Assumptions'!$S$10/1000</f>
        <v>510.08203608878307</v>
      </c>
      <c r="AN33" s="209">
        <f ca="1">AN25*'Commodity Price Assumptions'!$S$10/1000</f>
        <v>389.08964853169738</v>
      </c>
      <c r="AO33" s="209">
        <f ca="1">AO25*'Commodity Price Assumptions'!$S$10/1000</f>
        <v>0</v>
      </c>
    </row>
    <row r="35" spans="2:41">
      <c r="C35" s="41" t="s">
        <v>198</v>
      </c>
      <c r="D35" s="42" t="s">
        <v>257</v>
      </c>
      <c r="E35" s="42"/>
      <c r="F35" s="175"/>
      <c r="G35" s="175"/>
      <c r="H35" s="175"/>
      <c r="I35" s="175"/>
      <c r="J35" s="50"/>
      <c r="K35" s="175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</row>
    <row r="37" spans="2:41">
      <c r="G37" s="22" t="s">
        <v>256</v>
      </c>
      <c r="L37" s="209">
        <f ca="1">L26*'Commodity Price Assumptions'!O122/1000*'Inputs &amp; Assumptions'!$L$36</f>
        <v>1370.9599745260634</v>
      </c>
      <c r="M37" s="209">
        <f ca="1">M26*'Commodity Price Assumptions'!P122/1000*'Inputs &amp; Assumptions'!$L$36</f>
        <v>1265.9392438914595</v>
      </c>
      <c r="N37" s="209">
        <f ca="1">N26*'Commodity Price Assumptions'!Q122/1000*'Inputs &amp; Assumptions'!$L$36</f>
        <v>1252.6173510724268</v>
      </c>
      <c r="O37" s="209">
        <f ca="1">O26*'Commodity Price Assumptions'!R122/1000*'Inputs &amp; Assumptions'!$L$36</f>
        <v>1157.9226854771005</v>
      </c>
      <c r="P37" s="209">
        <f ca="1">P26*'Commodity Price Assumptions'!$S$122/1000*'Inputs &amp; Assumptions'!$L$36</f>
        <v>1074.5508538325248</v>
      </c>
      <c r="Q37" s="209">
        <f ca="1">Q26*'Commodity Price Assumptions'!$S$122/1000*'Inputs &amp; Assumptions'!$L$36</f>
        <v>1020.8233111408985</v>
      </c>
      <c r="R37" s="209">
        <f ca="1">R26*'Commodity Price Assumptions'!$S$122/1000*'Inputs &amp; Assumptions'!$L$36</f>
        <v>969.78214558385355</v>
      </c>
      <c r="S37" s="209">
        <f ca="1">S26*'Commodity Price Assumptions'!$S$122/1000*'Inputs &amp; Assumptions'!$L$36</f>
        <v>923.81712882056411</v>
      </c>
      <c r="T37" s="209">
        <f ca="1">T26*'Commodity Price Assumptions'!$S$122/1000*'Inputs &amp; Assumptions'!$L$36</f>
        <v>875.22838638942767</v>
      </c>
      <c r="U37" s="209">
        <f ca="1">U26*'Commodity Price Assumptions'!$S$122/1000*'Inputs &amp; Assumptions'!$L$36</f>
        <v>831.46696706995647</v>
      </c>
      <c r="V37" s="209">
        <f ca="1">V26*'Commodity Price Assumptions'!$S$122/1000*'Inputs &amp; Assumptions'!$L$36</f>
        <v>789.89361871645838</v>
      </c>
      <c r="W37" s="209">
        <f ca="1">W26*'Commodity Price Assumptions'!$S$122/1000*'Inputs &amp; Assumptions'!$L$36</f>
        <v>752.45482528140428</v>
      </c>
      <c r="X37" s="209">
        <f ca="1">X26*'Commodity Price Assumptions'!$S$122/1000*'Inputs &amp; Assumptions'!$L$36</f>
        <v>712.87899089160373</v>
      </c>
      <c r="Y37" s="209">
        <f ca="1">Y26*'Commodity Price Assumptions'!$S$122/1000*'Inputs &amp; Assumptions'!$L$36</f>
        <v>677.23504134702364</v>
      </c>
      <c r="Z37" s="209">
        <f ca="1">Z26*'Commodity Price Assumptions'!$S$122/1000*'Inputs &amp; Assumptions'!$L$36</f>
        <v>643.37328927967235</v>
      </c>
      <c r="AA37" s="209">
        <f ca="1">AA26*'Commodity Price Assumptions'!$S$122/1000*'Inputs &amp; Assumptions'!$L$36</f>
        <v>612.87915803436169</v>
      </c>
      <c r="AB37" s="209">
        <f ca="1">AB26*'Commodity Price Assumptions'!$S$122/1000*'Inputs &amp; Assumptions'!$L$36</f>
        <v>580.64439357490426</v>
      </c>
      <c r="AC37" s="209">
        <f ca="1">AC26*'Commodity Price Assumptions'!$S$122/1000*'Inputs &amp; Assumptions'!$L$36</f>
        <v>551.61217389615899</v>
      </c>
      <c r="AD37" s="209">
        <f ca="1">AD26*'Commodity Price Assumptions'!$S$122/1000*'Inputs &amp; Assumptions'!$L$36</f>
        <v>524.03156520135099</v>
      </c>
      <c r="AE37" s="209">
        <f ca="1">AE26*'Commodity Price Assumptions'!$S$122/1000*'Inputs &amp; Assumptions'!$L$36</f>
        <v>499.1939047137252</v>
      </c>
      <c r="AF37" s="209">
        <f ca="1">AF26*'Commodity Price Assumptions'!$S$122/1000*'Inputs &amp; Assumptions'!$L$36</f>
        <v>472.93848759421928</v>
      </c>
      <c r="AG37" s="209">
        <f ca="1">AG26*'Commodity Price Assumptions'!$S$122/1000*'Inputs &amp; Assumptions'!$L$36</f>
        <v>449.2915632145083</v>
      </c>
      <c r="AH37" s="209">
        <f ca="1">AH26*'Commodity Price Assumptions'!$S$122/1000*'Inputs &amp; Assumptions'!$L$36</f>
        <v>426.82698505378278</v>
      </c>
      <c r="AI37" s="209">
        <f ca="1">AI26*'Commodity Price Assumptions'!$S$122/1000*'Inputs &amp; Assumptions'!$L$36</f>
        <v>406.59655535123369</v>
      </c>
      <c r="AJ37" s="209">
        <f ca="1">AJ26*'Commodity Price Assumptions'!$S$122/1000*'Inputs &amp; Assumptions'!$L$36</f>
        <v>385.21135401103896</v>
      </c>
      <c r="AK37" s="209">
        <f ca="1">AK26*'Commodity Price Assumptions'!$S$122/1000*'Inputs &amp; Assumptions'!$L$36</f>
        <v>365.95078631048705</v>
      </c>
      <c r="AL37" s="209">
        <f ca="1">AL26*'Commodity Price Assumptions'!$S$122/1000*'Inputs &amp; Assumptions'!$L$36</f>
        <v>347.65324699496261</v>
      </c>
      <c r="AM37" s="209">
        <f ca="1">AM26*'Commodity Price Assumptions'!$S$122/1000*'Inputs &amp; Assumptions'!$L$36</f>
        <v>331.17543556205072</v>
      </c>
      <c r="AN37" s="209">
        <f ca="1">AN26*'Commodity Price Assumptions'!$S$122/1000*'Inputs &amp; Assumptions'!$L$36</f>
        <v>252.62001934673452</v>
      </c>
      <c r="AO37" s="209">
        <f ca="1">AO26*'Commodity Price Assumptions'!$S$122/1000*'Inputs &amp; Assumptions'!$L$36</f>
        <v>0</v>
      </c>
    </row>
    <row r="39" spans="2:41">
      <c r="C39" s="41" t="s">
        <v>46</v>
      </c>
      <c r="D39" s="42" t="s">
        <v>258</v>
      </c>
      <c r="E39" s="42"/>
      <c r="F39" s="175"/>
      <c r="G39" s="175"/>
      <c r="H39" s="175"/>
      <c r="I39" s="175"/>
      <c r="J39" s="50"/>
      <c r="K39" s="175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</row>
    <row r="41" spans="2:41">
      <c r="G41" s="22" t="s">
        <v>256</v>
      </c>
      <c r="L41" s="209">
        <f ca="1">L27*'Commodity Price Assumptions'!O23/1000</f>
        <v>136.702590626188</v>
      </c>
      <c r="M41" s="209">
        <f ca="1">M27*'Commodity Price Assumptions'!P23/1000</f>
        <v>117.85774784387222</v>
      </c>
      <c r="N41" s="209">
        <f ca="1">N27*'Commodity Price Assumptions'!Q23/1000</f>
        <v>121.31070087538647</v>
      </c>
      <c r="O41" s="209">
        <f ca="1">O27*'Commodity Price Assumptions'!R23/1000</f>
        <v>122.60275123035137</v>
      </c>
      <c r="P41" s="209">
        <f ca="1">P27*'Commodity Price Assumptions'!$S$23/1000</f>
        <v>118.97434986524372</v>
      </c>
      <c r="Q41" s="209">
        <f ca="1">Q27*'Commodity Price Assumptions'!$S$23/1000</f>
        <v>113.02563237198157</v>
      </c>
      <c r="R41" s="209">
        <f ca="1">R27*'Commodity Price Assumptions'!$S$23/1000</f>
        <v>107.37435075338246</v>
      </c>
      <c r="S41" s="209">
        <f ca="1">S27*'Commodity Price Assumptions'!$S$23/1000</f>
        <v>102.28510070397554</v>
      </c>
      <c r="T41" s="209">
        <f ca="1">T27*'Commodity Price Assumptions'!$S$23/1000</f>
        <v>96.905351554927663</v>
      </c>
      <c r="U41" s="209">
        <f ca="1">U27*'Commodity Price Assumptions'!$S$23/1000</f>
        <v>92.060083977181279</v>
      </c>
      <c r="V41" s="209">
        <f ca="1">V27*'Commodity Price Assumptions'!$S$23/1000</f>
        <v>87.45707977832221</v>
      </c>
      <c r="W41" s="209">
        <f ca="1">W27*'Commodity Price Assumptions'!$S$23/1000</f>
        <v>83.311853805267489</v>
      </c>
      <c r="X41" s="209">
        <f ca="1">X27*'Commodity Price Assumptions'!$S$23/1000</f>
        <v>78.930014499935794</v>
      </c>
      <c r="Y41" s="209">
        <f ca="1">Y27*'Commodity Price Assumptions'!$S$23/1000</f>
        <v>74.983513774938999</v>
      </c>
      <c r="Z41" s="209">
        <f ca="1">Z27*'Commodity Price Assumptions'!$S$23/1000</f>
        <v>71.234338086192025</v>
      </c>
      <c r="AA41" s="209">
        <f ca="1">AA27*'Commodity Price Assumptions'!$S$23/1000</f>
        <v>67.858025623476621</v>
      </c>
      <c r="AB41" s="209">
        <f ca="1">AB27*'Commodity Price Assumptions'!$S$23/1000</f>
        <v>64.28899012278832</v>
      </c>
      <c r="AC41" s="209">
        <f ca="1">AC27*'Commodity Price Assumptions'!$S$23/1000</f>
        <v>61.074540616648889</v>
      </c>
      <c r="AD41" s="209">
        <f ca="1">AD27*'Commodity Price Assumptions'!$S$23/1000</f>
        <v>58.020813585816455</v>
      </c>
      <c r="AE41" s="209">
        <f ca="1">AE27*'Commodity Price Assumptions'!$S$23/1000</f>
        <v>55.270785982981856</v>
      </c>
      <c r="AF41" s="209">
        <f ca="1">AF27*'Commodity Price Assumptions'!$S$23/1000</f>
        <v>52.363784261199349</v>
      </c>
      <c r="AG41" s="209">
        <f ca="1">AG27*'Commodity Price Assumptions'!$S$23/1000</f>
        <v>49.745595048139371</v>
      </c>
      <c r="AH41" s="209">
        <f ca="1">AH27*'Commodity Price Assumptions'!$S$23/1000</f>
        <v>47.258315295732409</v>
      </c>
      <c r="AI41" s="209">
        <f ca="1">AI27*'Commodity Price Assumptions'!$S$23/1000</f>
        <v>45.018400625551109</v>
      </c>
      <c r="AJ41" s="209">
        <f ca="1">AJ27*'Commodity Price Assumptions'!$S$23/1000</f>
        <v>42.650629554398492</v>
      </c>
      <c r="AK41" s="209">
        <f ca="1">AK27*'Commodity Price Assumptions'!$S$23/1000</f>
        <v>40.518098076678562</v>
      </c>
      <c r="AL41" s="209">
        <f ca="1">AL27*'Commodity Price Assumptions'!$S$23/1000</f>
        <v>38.49219317284463</v>
      </c>
      <c r="AM41" s="209">
        <f ca="1">AM27*'Commodity Price Assumptions'!$S$23/1000</f>
        <v>36.667768674515273</v>
      </c>
      <c r="AN41" s="209">
        <f ca="1">AN27*'Commodity Price Assumptions'!$S$23/1000</f>
        <v>27.970107191787996</v>
      </c>
      <c r="AO41" s="209">
        <f ca="1">AO27*'Commodity Price Assumptions'!$S$23/1000</f>
        <v>0</v>
      </c>
    </row>
    <row r="44" spans="2:41">
      <c r="B44" s="37" t="s">
        <v>192</v>
      </c>
      <c r="C44" s="36" t="s">
        <v>259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</row>
    <row r="46" spans="2:41">
      <c r="C46" s="41" t="s">
        <v>21</v>
      </c>
      <c r="D46" s="42" t="s">
        <v>260</v>
      </c>
      <c r="E46" s="42"/>
      <c r="F46" s="175"/>
      <c r="G46" s="175"/>
      <c r="H46" s="175"/>
      <c r="I46" s="175"/>
      <c r="J46" s="50"/>
      <c r="K46" s="175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</row>
    <row r="48" spans="2:41">
      <c r="E48" s="22" t="s">
        <v>261</v>
      </c>
      <c r="G48" s="22" t="s">
        <v>72</v>
      </c>
      <c r="L48" s="214">
        <f>'Inputs &amp; Assumptions'!$L$73</f>
        <v>0.04</v>
      </c>
      <c r="M48" s="214">
        <f>'Inputs &amp; Assumptions'!$L$73</f>
        <v>0.04</v>
      </c>
      <c r="N48" s="214">
        <f>'Inputs &amp; Assumptions'!$L$73</f>
        <v>0.04</v>
      </c>
      <c r="O48" s="214">
        <f>'Inputs &amp; Assumptions'!$L$73</f>
        <v>0.04</v>
      </c>
      <c r="P48" s="214">
        <f>'Inputs &amp; Assumptions'!$L$73</f>
        <v>0.04</v>
      </c>
      <c r="Q48" s="214">
        <f>'Inputs &amp; Assumptions'!$L$73</f>
        <v>0.04</v>
      </c>
      <c r="R48" s="214">
        <f>'Inputs &amp; Assumptions'!$L$73</f>
        <v>0.04</v>
      </c>
      <c r="S48" s="214">
        <f>'Inputs &amp; Assumptions'!$L$73</f>
        <v>0.04</v>
      </c>
      <c r="T48" s="214">
        <f>'Inputs &amp; Assumptions'!$L$73</f>
        <v>0.04</v>
      </c>
      <c r="U48" s="214">
        <f>'Inputs &amp; Assumptions'!$L$73</f>
        <v>0.04</v>
      </c>
      <c r="V48" s="214">
        <f>'Inputs &amp; Assumptions'!$L$73</f>
        <v>0.04</v>
      </c>
      <c r="W48" s="214">
        <f>'Inputs &amp; Assumptions'!$L$73</f>
        <v>0.04</v>
      </c>
      <c r="X48" s="214">
        <f>'Inputs &amp; Assumptions'!$L$73</f>
        <v>0.04</v>
      </c>
      <c r="Y48" s="214">
        <f>'Inputs &amp; Assumptions'!$L$73</f>
        <v>0.04</v>
      </c>
      <c r="Z48" s="214">
        <f>'Inputs &amp; Assumptions'!$L$73</f>
        <v>0.04</v>
      </c>
      <c r="AA48" s="214">
        <f>'Inputs &amp; Assumptions'!$L$73</f>
        <v>0.04</v>
      </c>
      <c r="AB48" s="214">
        <f>'Inputs &amp; Assumptions'!$L$73</f>
        <v>0.04</v>
      </c>
      <c r="AC48" s="214">
        <f>'Inputs &amp; Assumptions'!$L$73</f>
        <v>0.04</v>
      </c>
      <c r="AD48" s="214">
        <f>'Inputs &amp; Assumptions'!$L$73</f>
        <v>0.04</v>
      </c>
      <c r="AE48" s="214">
        <f>'Inputs &amp; Assumptions'!$L$73</f>
        <v>0.04</v>
      </c>
      <c r="AF48" s="214">
        <f>'Inputs &amp; Assumptions'!$L$73</f>
        <v>0.04</v>
      </c>
      <c r="AG48" s="214">
        <f>'Inputs &amp; Assumptions'!$L$73</f>
        <v>0.04</v>
      </c>
      <c r="AH48" s="214">
        <f>'Inputs &amp; Assumptions'!$L$73</f>
        <v>0.04</v>
      </c>
      <c r="AI48" s="214">
        <f>'Inputs &amp; Assumptions'!$L$73</f>
        <v>0.04</v>
      </c>
      <c r="AJ48" s="214">
        <f>'Inputs &amp; Assumptions'!$L$73</f>
        <v>0.04</v>
      </c>
      <c r="AK48" s="214">
        <f>'Inputs &amp; Assumptions'!$L$73</f>
        <v>0.04</v>
      </c>
      <c r="AL48" s="214">
        <f>'Inputs &amp; Assumptions'!$L$73</f>
        <v>0.04</v>
      </c>
      <c r="AM48" s="214">
        <f>'Inputs &amp; Assumptions'!$L$73</f>
        <v>0.04</v>
      </c>
      <c r="AN48" s="214">
        <f>'Inputs &amp; Assumptions'!$L$73</f>
        <v>0.04</v>
      </c>
      <c r="AO48" s="214">
        <f>'Inputs &amp; Assumptions'!$L$73</f>
        <v>0.04</v>
      </c>
    </row>
    <row r="50" spans="3:41">
      <c r="E50" s="22" t="s">
        <v>262</v>
      </c>
      <c r="G50" s="22" t="s">
        <v>77</v>
      </c>
      <c r="L50" s="214">
        <f>L48*L24/1000</f>
        <v>30.899585999999996</v>
      </c>
      <c r="M50" s="214">
        <f t="shared" ref="M50:AN50" si="10">M48*M24/1000</f>
        <v>29.354606700000001</v>
      </c>
      <c r="N50" s="214">
        <f t="shared" si="10"/>
        <v>27.886876364999996</v>
      </c>
      <c r="O50" s="214">
        <f t="shared" si="10"/>
        <v>26.565114827699997</v>
      </c>
      <c r="P50" s="214">
        <f t="shared" si="10"/>
        <v>25.167905919412494</v>
      </c>
      <c r="Q50" s="214">
        <f t="shared" si="10"/>
        <v>23.909510623441872</v>
      </c>
      <c r="R50" s="214">
        <f t="shared" si="10"/>
        <v>22.714035092269771</v>
      </c>
      <c r="S50" s="214">
        <f t="shared" si="10"/>
        <v>21.637452059129316</v>
      </c>
      <c r="T50" s="214">
        <f t="shared" si="10"/>
        <v>20.499416670773467</v>
      </c>
      <c r="U50" s="214">
        <f t="shared" si="10"/>
        <v>19.474445837234793</v>
      </c>
      <c r="V50" s="214">
        <f t="shared" si="10"/>
        <v>18.500723545373052</v>
      </c>
      <c r="W50" s="214">
        <f t="shared" si="10"/>
        <v>17.623839936236191</v>
      </c>
      <c r="X50" s="214">
        <f t="shared" si="10"/>
        <v>16.696902999699176</v>
      </c>
      <c r="Y50" s="214">
        <f t="shared" si="10"/>
        <v>15.862057849714221</v>
      </c>
      <c r="Z50" s="214">
        <f t="shared" si="10"/>
        <v>15.06895495722851</v>
      </c>
      <c r="AA50" s="214">
        <f t="shared" si="10"/>
        <v>14.354727777063978</v>
      </c>
      <c r="AB50" s="214">
        <f t="shared" si="10"/>
        <v>13.599731848898728</v>
      </c>
      <c r="AC50" s="214">
        <f t="shared" si="10"/>
        <v>12.91974525645379</v>
      </c>
      <c r="AD50" s="214">
        <f t="shared" si="10"/>
        <v>12.273757993631099</v>
      </c>
      <c r="AE50" s="214">
        <f t="shared" si="10"/>
        <v>11.692015491467215</v>
      </c>
      <c r="AF50" s="214">
        <f t="shared" si="10"/>
        <v>11.077066589252068</v>
      </c>
      <c r="AG50" s="214">
        <f t="shared" si="10"/>
        <v>10.523213259789465</v>
      </c>
      <c r="AH50" s="214">
        <f t="shared" si="10"/>
        <v>9.997052596799989</v>
      </c>
      <c r="AI50" s="214">
        <f t="shared" si="10"/>
        <v>9.5232196928968662</v>
      </c>
      <c r="AJ50" s="214">
        <f t="shared" si="10"/>
        <v>9.0223399686119894</v>
      </c>
      <c r="AK50" s="214">
        <f t="shared" si="10"/>
        <v>8.57122297018139</v>
      </c>
      <c r="AL50" s="214">
        <f t="shared" si="10"/>
        <v>8.1426618216723217</v>
      </c>
      <c r="AM50" s="214">
        <f t="shared" si="10"/>
        <v>7.7567219599875763</v>
      </c>
      <c r="AN50" s="214">
        <f t="shared" si="10"/>
        <v>5.9168133900805557</v>
      </c>
      <c r="AO50" s="214">
        <f t="shared" ref="AO50" si="11">AO48*AO24/1000</f>
        <v>0</v>
      </c>
    </row>
    <row r="52" spans="3:41">
      <c r="C52" s="41" t="s">
        <v>198</v>
      </c>
      <c r="D52" s="42" t="s">
        <v>263</v>
      </c>
      <c r="E52" s="42"/>
      <c r="F52" s="175"/>
      <c r="G52" s="175"/>
      <c r="H52" s="175"/>
      <c r="I52" s="175"/>
      <c r="J52" s="50"/>
      <c r="K52" s="175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</row>
    <row r="54" spans="3:41">
      <c r="E54" s="22" t="s">
        <v>261</v>
      </c>
      <c r="G54" s="22" t="s">
        <v>72</v>
      </c>
      <c r="L54" s="214">
        <f>'Inputs &amp; Assumptions'!$L$74</f>
        <v>0.14000000000000001</v>
      </c>
      <c r="M54" s="214">
        <f>'Inputs &amp; Assumptions'!$L$74</f>
        <v>0.14000000000000001</v>
      </c>
      <c r="N54" s="214">
        <f>'Inputs &amp; Assumptions'!$L$74</f>
        <v>0.14000000000000001</v>
      </c>
      <c r="O54" s="214">
        <f>'Inputs &amp; Assumptions'!$L$74</f>
        <v>0.14000000000000001</v>
      </c>
      <c r="P54" s="214">
        <f>'Inputs &amp; Assumptions'!$L$74</f>
        <v>0.14000000000000001</v>
      </c>
      <c r="Q54" s="214">
        <f>'Inputs &amp; Assumptions'!$L$74</f>
        <v>0.14000000000000001</v>
      </c>
      <c r="R54" s="214">
        <f>'Inputs &amp; Assumptions'!$L$74</f>
        <v>0.14000000000000001</v>
      </c>
      <c r="S54" s="214">
        <f>'Inputs &amp; Assumptions'!$L$74</f>
        <v>0.14000000000000001</v>
      </c>
      <c r="T54" s="214">
        <f>'Inputs &amp; Assumptions'!$L$74</f>
        <v>0.14000000000000001</v>
      </c>
      <c r="U54" s="214">
        <f>'Inputs &amp; Assumptions'!$L$74</f>
        <v>0.14000000000000001</v>
      </c>
      <c r="V54" s="214">
        <f>'Inputs &amp; Assumptions'!$L$74</f>
        <v>0.14000000000000001</v>
      </c>
      <c r="W54" s="214">
        <f>'Inputs &amp; Assumptions'!$L$74</f>
        <v>0.14000000000000001</v>
      </c>
      <c r="X54" s="214">
        <f>'Inputs &amp; Assumptions'!$L$74</f>
        <v>0.14000000000000001</v>
      </c>
      <c r="Y54" s="214">
        <f>'Inputs &amp; Assumptions'!$L$74</f>
        <v>0.14000000000000001</v>
      </c>
      <c r="Z54" s="214">
        <f>'Inputs &amp; Assumptions'!$L$74</f>
        <v>0.14000000000000001</v>
      </c>
      <c r="AA54" s="214">
        <f>'Inputs &amp; Assumptions'!$L$74</f>
        <v>0.14000000000000001</v>
      </c>
      <c r="AB54" s="214">
        <f>'Inputs &amp; Assumptions'!$L$74</f>
        <v>0.14000000000000001</v>
      </c>
      <c r="AC54" s="214">
        <f>'Inputs &amp; Assumptions'!$L$74</f>
        <v>0.14000000000000001</v>
      </c>
      <c r="AD54" s="214">
        <f>'Inputs &amp; Assumptions'!$L$74</f>
        <v>0.14000000000000001</v>
      </c>
      <c r="AE54" s="214">
        <f>'Inputs &amp; Assumptions'!$L$74</f>
        <v>0.14000000000000001</v>
      </c>
      <c r="AF54" s="214">
        <f>'Inputs &amp; Assumptions'!$L$74</f>
        <v>0.14000000000000001</v>
      </c>
      <c r="AG54" s="214">
        <f>'Inputs &amp; Assumptions'!$L$74</f>
        <v>0.14000000000000001</v>
      </c>
      <c r="AH54" s="214">
        <f>'Inputs &amp; Assumptions'!$L$74</f>
        <v>0.14000000000000001</v>
      </c>
      <c r="AI54" s="214">
        <f>'Inputs &amp; Assumptions'!$L$74</f>
        <v>0.14000000000000001</v>
      </c>
      <c r="AJ54" s="214">
        <f>'Inputs &amp; Assumptions'!$L$74</f>
        <v>0.14000000000000001</v>
      </c>
      <c r="AK54" s="214">
        <f>'Inputs &amp; Assumptions'!$L$74</f>
        <v>0.14000000000000001</v>
      </c>
      <c r="AL54" s="214">
        <f>'Inputs &amp; Assumptions'!$L$74</f>
        <v>0.14000000000000001</v>
      </c>
      <c r="AM54" s="214">
        <f>'Inputs &amp; Assumptions'!$L$74</f>
        <v>0.14000000000000001</v>
      </c>
      <c r="AN54" s="214">
        <f>'Inputs &amp; Assumptions'!$L$74</f>
        <v>0.14000000000000001</v>
      </c>
      <c r="AO54" s="214">
        <f>'Inputs &amp; Assumptions'!$L$74</f>
        <v>0.14000000000000001</v>
      </c>
    </row>
    <row r="55" spans="3:41">
      <c r="AN55" s="22" t="s">
        <v>264</v>
      </c>
    </row>
    <row r="56" spans="3:41">
      <c r="E56" s="22" t="s">
        <v>262</v>
      </c>
      <c r="G56" s="22" t="s">
        <v>77</v>
      </c>
      <c r="L56" s="214">
        <f>L54*L24/1000</f>
        <v>108.148551</v>
      </c>
      <c r="M56" s="214">
        <f t="shared" ref="M56:AO56" si="12">M54*M24/1000</f>
        <v>102.74112345000002</v>
      </c>
      <c r="N56" s="214">
        <f t="shared" si="12"/>
        <v>97.604067277499993</v>
      </c>
      <c r="O56" s="214">
        <f t="shared" si="12"/>
        <v>92.977901896950002</v>
      </c>
      <c r="P56" s="214">
        <f t="shared" si="12"/>
        <v>88.087670717943723</v>
      </c>
      <c r="Q56" s="214">
        <f t="shared" si="12"/>
        <v>83.683287182046556</v>
      </c>
      <c r="R56" s="214">
        <f t="shared" si="12"/>
        <v>79.499122822944216</v>
      </c>
      <c r="S56" s="214">
        <f t="shared" si="12"/>
        <v>75.731082206952607</v>
      </c>
      <c r="T56" s="214">
        <f t="shared" si="12"/>
        <v>71.74795834770714</v>
      </c>
      <c r="U56" s="214">
        <f t="shared" si="12"/>
        <v>68.16056043032178</v>
      </c>
      <c r="V56" s="214">
        <f t="shared" si="12"/>
        <v>64.752532408805692</v>
      </c>
      <c r="W56" s="214">
        <f t="shared" si="12"/>
        <v>61.683439776826681</v>
      </c>
      <c r="X56" s="214">
        <f t="shared" si="12"/>
        <v>58.439160498947132</v>
      </c>
      <c r="Y56" s="214">
        <f t="shared" si="12"/>
        <v>55.517202473999781</v>
      </c>
      <c r="Z56" s="214">
        <f t="shared" si="12"/>
        <v>52.741342350299782</v>
      </c>
      <c r="AA56" s="214">
        <f t="shared" si="12"/>
        <v>50.24154721972392</v>
      </c>
      <c r="AB56" s="214">
        <f t="shared" si="12"/>
        <v>47.599061471145546</v>
      </c>
      <c r="AC56" s="214">
        <f t="shared" si="12"/>
        <v>45.219108397588272</v>
      </c>
      <c r="AD56" s="214">
        <f t="shared" si="12"/>
        <v>42.958152977708849</v>
      </c>
      <c r="AE56" s="214">
        <f t="shared" si="12"/>
        <v>40.922054220135252</v>
      </c>
      <c r="AF56" s="214">
        <f t="shared" si="12"/>
        <v>38.769733062382244</v>
      </c>
      <c r="AG56" s="214">
        <f t="shared" si="12"/>
        <v>36.83124640926313</v>
      </c>
      <c r="AH56" s="214">
        <f t="shared" si="12"/>
        <v>34.989684088799962</v>
      </c>
      <c r="AI56" s="214">
        <f t="shared" si="12"/>
        <v>33.331268925139035</v>
      </c>
      <c r="AJ56" s="214">
        <f t="shared" si="12"/>
        <v>31.578189890141971</v>
      </c>
      <c r="AK56" s="214">
        <f t="shared" si="12"/>
        <v>29.999280395634869</v>
      </c>
      <c r="AL56" s="214">
        <f t="shared" si="12"/>
        <v>28.499316375853123</v>
      </c>
      <c r="AM56" s="214">
        <f t="shared" si="12"/>
        <v>27.148526859956522</v>
      </c>
      <c r="AN56" s="214">
        <f t="shared" si="12"/>
        <v>20.708846865281949</v>
      </c>
      <c r="AO56" s="214">
        <f t="shared" si="12"/>
        <v>0</v>
      </c>
    </row>
    <row r="58" spans="3:41">
      <c r="C58" s="41" t="s">
        <v>46</v>
      </c>
      <c r="D58" s="42" t="s">
        <v>265</v>
      </c>
      <c r="E58" s="42"/>
      <c r="F58" s="175"/>
      <c r="G58" s="175"/>
      <c r="H58" s="175"/>
      <c r="I58" s="175"/>
      <c r="J58" s="50"/>
      <c r="K58" s="175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</row>
    <row r="59" spans="3:41">
      <c r="AF59" s="22" t="s">
        <v>266</v>
      </c>
    </row>
    <row r="60" spans="3:41">
      <c r="E60" s="22" t="s">
        <v>261</v>
      </c>
      <c r="G60" s="22" t="s">
        <v>72</v>
      </c>
      <c r="L60" s="214">
        <f>'Inputs &amp; Assumptions'!$L$75</f>
        <v>1.6419999999999999</v>
      </c>
      <c r="M60" s="214">
        <f>'Inputs &amp; Assumptions'!$L$75</f>
        <v>1.6419999999999999</v>
      </c>
      <c r="N60" s="214">
        <f>'Inputs &amp; Assumptions'!$L$75</f>
        <v>1.6419999999999999</v>
      </c>
      <c r="O60" s="214">
        <f>'Inputs &amp; Assumptions'!$L$75</f>
        <v>1.6419999999999999</v>
      </c>
      <c r="P60" s="214">
        <f>'Inputs &amp; Assumptions'!$L$75</f>
        <v>1.6419999999999999</v>
      </c>
      <c r="Q60" s="214">
        <f>'Inputs &amp; Assumptions'!$L$75</f>
        <v>1.6419999999999999</v>
      </c>
      <c r="R60" s="214">
        <f>'Inputs &amp; Assumptions'!$L$75</f>
        <v>1.6419999999999999</v>
      </c>
      <c r="S60" s="214">
        <f>'Inputs &amp; Assumptions'!$L$75</f>
        <v>1.6419999999999999</v>
      </c>
      <c r="T60" s="214">
        <f>'Inputs &amp; Assumptions'!$L$75</f>
        <v>1.6419999999999999</v>
      </c>
      <c r="U60" s="214">
        <f>'Inputs &amp; Assumptions'!$L$75</f>
        <v>1.6419999999999999</v>
      </c>
      <c r="V60" s="214">
        <f>'Inputs &amp; Assumptions'!$L$75</f>
        <v>1.6419999999999999</v>
      </c>
      <c r="W60" s="214">
        <f>'Inputs &amp; Assumptions'!$L$75</f>
        <v>1.6419999999999999</v>
      </c>
      <c r="X60" s="214">
        <f>'Inputs &amp; Assumptions'!$L$75</f>
        <v>1.6419999999999999</v>
      </c>
      <c r="Y60" s="214">
        <f>'Inputs &amp; Assumptions'!$L$75</f>
        <v>1.6419999999999999</v>
      </c>
      <c r="Z60" s="214">
        <f>'Inputs &amp; Assumptions'!$L$75</f>
        <v>1.6419999999999999</v>
      </c>
      <c r="AA60" s="214">
        <f>'Inputs &amp; Assumptions'!$L$75</f>
        <v>1.6419999999999999</v>
      </c>
      <c r="AB60" s="214">
        <f>'Inputs &amp; Assumptions'!$L$75</f>
        <v>1.6419999999999999</v>
      </c>
      <c r="AC60" s="214">
        <f>'Inputs &amp; Assumptions'!$L$75</f>
        <v>1.6419999999999999</v>
      </c>
      <c r="AD60" s="214">
        <f>'Inputs &amp; Assumptions'!$L$75</f>
        <v>1.6419999999999999</v>
      </c>
      <c r="AE60" s="214">
        <f>'Inputs &amp; Assumptions'!$L$75</f>
        <v>1.6419999999999999</v>
      </c>
      <c r="AF60" s="214">
        <f>'Inputs &amp; Assumptions'!$L$75</f>
        <v>1.6419999999999999</v>
      </c>
      <c r="AG60" s="214">
        <f>'Inputs &amp; Assumptions'!$L$75</f>
        <v>1.6419999999999999</v>
      </c>
      <c r="AH60" s="214">
        <f>'Inputs &amp; Assumptions'!$L$75</f>
        <v>1.6419999999999999</v>
      </c>
      <c r="AI60" s="214">
        <f>'Inputs &amp; Assumptions'!$L$75</f>
        <v>1.6419999999999999</v>
      </c>
      <c r="AJ60" s="214">
        <f>'Inputs &amp; Assumptions'!$L$75</f>
        <v>1.6419999999999999</v>
      </c>
      <c r="AK60" s="214">
        <f>'Inputs &amp; Assumptions'!$L$75</f>
        <v>1.6419999999999999</v>
      </c>
      <c r="AL60" s="214">
        <f>'Inputs &amp; Assumptions'!$L$75</f>
        <v>1.6419999999999999</v>
      </c>
      <c r="AM60" s="214">
        <f>'Inputs &amp; Assumptions'!$L$75</f>
        <v>1.6419999999999999</v>
      </c>
      <c r="AN60" s="214">
        <f>'Inputs &amp; Assumptions'!$L$75</f>
        <v>1.6419999999999999</v>
      </c>
      <c r="AO60" s="214">
        <f>'Inputs &amp; Assumptions'!$L$75</f>
        <v>1.6419999999999999</v>
      </c>
    </row>
    <row r="61" spans="3:41"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</row>
    <row r="62" spans="3:41">
      <c r="E62" s="22" t="s">
        <v>262</v>
      </c>
      <c r="G62" s="22" t="s">
        <v>77</v>
      </c>
      <c r="L62" s="214">
        <f>L60*L24/1000</f>
        <v>1268.4280052999998</v>
      </c>
      <c r="M62" s="214">
        <f t="shared" ref="M62:AO62" si="13">M60*M24/1000</f>
        <v>1205.0066050350001</v>
      </c>
      <c r="N62" s="214">
        <f t="shared" si="13"/>
        <v>1144.7562747832496</v>
      </c>
      <c r="O62" s="214">
        <f t="shared" si="13"/>
        <v>1090.4979636770847</v>
      </c>
      <c r="P62" s="214">
        <f t="shared" si="13"/>
        <v>1033.1425379918826</v>
      </c>
      <c r="Q62" s="214">
        <f t="shared" si="13"/>
        <v>981.4854110922887</v>
      </c>
      <c r="R62" s="214">
        <f t="shared" si="13"/>
        <v>932.41114053767421</v>
      </c>
      <c r="S62" s="214">
        <f t="shared" si="13"/>
        <v>888.21740702725833</v>
      </c>
      <c r="T62" s="214">
        <f t="shared" si="13"/>
        <v>841.50105433525073</v>
      </c>
      <c r="U62" s="214">
        <f t="shared" si="13"/>
        <v>799.42600161848827</v>
      </c>
      <c r="V62" s="214">
        <f t="shared" si="13"/>
        <v>759.45470153756366</v>
      </c>
      <c r="W62" s="214">
        <f t="shared" si="13"/>
        <v>723.4586293824957</v>
      </c>
      <c r="X62" s="214">
        <f t="shared" si="13"/>
        <v>685.40786813765123</v>
      </c>
      <c r="Y62" s="214">
        <f t="shared" si="13"/>
        <v>651.13747473076876</v>
      </c>
      <c r="Z62" s="214">
        <f t="shared" si="13"/>
        <v>618.58060099423028</v>
      </c>
      <c r="AA62" s="214">
        <f t="shared" si="13"/>
        <v>589.26157524847622</v>
      </c>
      <c r="AB62" s="214">
        <f t="shared" si="13"/>
        <v>558.26899239729278</v>
      </c>
      <c r="AC62" s="214">
        <f t="shared" si="13"/>
        <v>530.35554277742801</v>
      </c>
      <c r="AD62" s="214">
        <f t="shared" si="13"/>
        <v>503.83776563855662</v>
      </c>
      <c r="AE62" s="214">
        <f t="shared" si="13"/>
        <v>479.9572359247291</v>
      </c>
      <c r="AF62" s="214">
        <f t="shared" si="13"/>
        <v>454.71358348879744</v>
      </c>
      <c r="AG62" s="214">
        <f t="shared" si="13"/>
        <v>431.97790431435749</v>
      </c>
      <c r="AH62" s="214">
        <f t="shared" si="13"/>
        <v>410.37900909863953</v>
      </c>
      <c r="AI62" s="214">
        <f t="shared" si="13"/>
        <v>390.92816839341634</v>
      </c>
      <c r="AJ62" s="214">
        <f t="shared" si="13"/>
        <v>370.3670557115222</v>
      </c>
      <c r="AK62" s="214">
        <f t="shared" si="13"/>
        <v>351.84870292594604</v>
      </c>
      <c r="AL62" s="214">
        <f t="shared" si="13"/>
        <v>334.25626777964874</v>
      </c>
      <c r="AM62" s="214">
        <f t="shared" si="13"/>
        <v>318.41343645748998</v>
      </c>
      <c r="AN62" s="214">
        <f t="shared" si="13"/>
        <v>242.88518966280682</v>
      </c>
      <c r="AO62" s="214">
        <f t="shared" si="13"/>
        <v>0</v>
      </c>
    </row>
    <row r="65" spans="2:41">
      <c r="B65" s="37" t="s">
        <v>267</v>
      </c>
      <c r="C65" s="36" t="s">
        <v>268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</row>
    <row r="67" spans="2:41">
      <c r="E67" s="22" t="s">
        <v>269</v>
      </c>
      <c r="L67" s="209">
        <f ca="1">SUM(L33:L41)-L62</f>
        <v>2091.2784957272515</v>
      </c>
      <c r="M67" s="209">
        <f t="shared" ref="M67:AO67" ca="1" si="14">SUM(M33:M41)-M62</f>
        <v>2109.1493232923317</v>
      </c>
      <c r="N67" s="209">
        <f t="shared" ca="1" si="14"/>
        <v>2067.7883945044696</v>
      </c>
      <c r="O67" s="209">
        <f t="shared" ca="1" si="14"/>
        <v>1923.3015963571877</v>
      </c>
      <c r="P67" s="209">
        <f t="shared" ca="1" si="14"/>
        <v>1815.4241589664514</v>
      </c>
      <c r="Q67" s="209">
        <f t="shared" ca="1" si="14"/>
        <v>1724.6529510181285</v>
      </c>
      <c r="R67" s="209">
        <f t="shared" ca="1" si="14"/>
        <v>1638.4203034672219</v>
      </c>
      <c r="S67" s="209">
        <f t="shared" ca="1" si="14"/>
        <v>1560.7636699056245</v>
      </c>
      <c r="T67" s="209">
        <f t="shared" ca="1" si="14"/>
        <v>1478.674323879168</v>
      </c>
      <c r="U67" s="209">
        <f t="shared" ca="1" si="14"/>
        <v>1404.7406076852101</v>
      </c>
      <c r="V67" s="209">
        <f t="shared" ca="1" si="14"/>
        <v>1334.503577300949</v>
      </c>
      <c r="W67" s="209">
        <f t="shared" ca="1" si="14"/>
        <v>1271.2517639110681</v>
      </c>
      <c r="X67" s="209">
        <f t="shared" ca="1" si="14"/>
        <v>1204.3894785141065</v>
      </c>
      <c r="Y67" s="209">
        <f t="shared" ca="1" si="14"/>
        <v>1144.1700045884008</v>
      </c>
      <c r="Z67" s="209">
        <f t="shared" ca="1" si="14"/>
        <v>1086.9615043589808</v>
      </c>
      <c r="AA67" s="209">
        <f t="shared" ca="1" si="14"/>
        <v>1035.4425070290893</v>
      </c>
      <c r="AB67" s="209">
        <f t="shared" ca="1" si="14"/>
        <v>980.98275768398025</v>
      </c>
      <c r="AC67" s="209">
        <f t="shared" ca="1" si="14"/>
        <v>931.93361979978101</v>
      </c>
      <c r="AD67" s="209">
        <f t="shared" ca="1" si="14"/>
        <v>885.33693880979195</v>
      </c>
      <c r="AE67" s="209">
        <f t="shared" ca="1" si="14"/>
        <v>843.37439349086208</v>
      </c>
      <c r="AF67" s="209">
        <f t="shared" ca="1" si="14"/>
        <v>799.01658727583731</v>
      </c>
      <c r="AG67" s="209">
        <f t="shared" ca="1" si="14"/>
        <v>759.06575791204534</v>
      </c>
      <c r="AH67" s="209">
        <f t="shared" ca="1" si="14"/>
        <v>721.11247001644301</v>
      </c>
      <c r="AI67" s="209">
        <f t="shared" ca="1" si="14"/>
        <v>686.93371458826641</v>
      </c>
      <c r="AJ67" s="209">
        <f t="shared" ca="1" si="14"/>
        <v>650.80400418983993</v>
      </c>
      <c r="AK67" s="209">
        <f t="shared" ca="1" si="14"/>
        <v>618.2638039803478</v>
      </c>
      <c r="AL67" s="209">
        <f t="shared" ca="1" si="14"/>
        <v>587.35061378133025</v>
      </c>
      <c r="AM67" s="209">
        <f t="shared" ca="1" si="14"/>
        <v>559.51180386785916</v>
      </c>
      <c r="AN67" s="209">
        <f t="shared" ca="1" si="14"/>
        <v>426.79458540741302</v>
      </c>
      <c r="AO67" s="209">
        <f t="shared" ca="1" si="14"/>
        <v>0</v>
      </c>
    </row>
    <row r="69" spans="2:41">
      <c r="E69" s="22" t="s">
        <v>270</v>
      </c>
      <c r="L69" s="209">
        <f>(L24/$L$13)*'Inputs &amp; Assumptions'!$L$78</f>
        <v>54.868803511962412</v>
      </c>
      <c r="M69" s="209">
        <f>(M24/$L$13)*'Inputs &amp; Assumptions'!$L$78</f>
        <v>52.125363336364295</v>
      </c>
      <c r="N69" s="209">
        <f>(N24/$L$13)*'Inputs &amp; Assumptions'!$L$78</f>
        <v>49.51909516954607</v>
      </c>
      <c r="O69" s="209">
        <f>(O24/$L$13)*'Inputs &amp; Assumptions'!$L$78</f>
        <v>47.172025727263481</v>
      </c>
      <c r="P69" s="209">
        <f>(P24/$L$13)*'Inputs &amp; Assumptions'!$L$78</f>
        <v>44.690983390515321</v>
      </c>
      <c r="Q69" s="209">
        <f>(Q24/$L$13)*'Inputs &amp; Assumptions'!$L$78</f>
        <v>42.456434220989564</v>
      </c>
      <c r="R69" s="209">
        <f>(R24/$L$13)*'Inputs &amp; Assumptions'!$L$78</f>
        <v>40.333612509940082</v>
      </c>
      <c r="S69" s="209">
        <f>(S24/$L$13)*'Inputs &amp; Assumptions'!$L$78</f>
        <v>38.42190978001689</v>
      </c>
      <c r="T69" s="209">
        <f>(T24/$L$13)*'Inputs &amp; Assumptions'!$L$78</f>
        <v>36.401085290220919</v>
      </c>
      <c r="U69" s="209">
        <f>(U24/$L$13)*'Inputs &amp; Assumptions'!$L$78</f>
        <v>34.581031025709869</v>
      </c>
      <c r="V69" s="209">
        <f>(V24/$L$13)*'Inputs &amp; Assumptions'!$L$78</f>
        <v>32.851979474424375</v>
      </c>
      <c r="W69" s="209">
        <f>(W24/$L$13)*'Inputs &amp; Assumptions'!$L$78</f>
        <v>31.294885652759877</v>
      </c>
      <c r="X69" s="209">
        <f>(X24/$L$13)*'Inputs &amp; Assumptions'!$L$78</f>
        <v>29.648911475667994</v>
      </c>
      <c r="Y69" s="209">
        <f>(Y24/$L$13)*'Inputs &amp; Assumptions'!$L$78</f>
        <v>28.166465901884596</v>
      </c>
      <c r="Z69" s="209">
        <f>(Z24/$L$13)*'Inputs &amp; Assumptions'!$L$78</f>
        <v>26.758142606790365</v>
      </c>
      <c r="AA69" s="209">
        <f>(AA24/$L$13)*'Inputs &amp; Assumptions'!$L$78</f>
        <v>25.489879957208242</v>
      </c>
      <c r="AB69" s="209">
        <f>(AB24/$L$13)*'Inputs &amp; Assumptions'!$L$78</f>
        <v>24.149223702628301</v>
      </c>
      <c r="AC69" s="209">
        <f>(AC24/$L$13)*'Inputs &amp; Assumptions'!$L$78</f>
        <v>22.941762517496883</v>
      </c>
      <c r="AD69" s="209">
        <f>(AD24/$L$13)*'Inputs &amp; Assumptions'!$L$78</f>
        <v>21.794674391622038</v>
      </c>
      <c r="AE69" s="209">
        <f>(AE24/$L$13)*'Inputs &amp; Assumptions'!$L$78</f>
        <v>20.761666536895842</v>
      </c>
      <c r="AF69" s="209">
        <f>(AF24/$L$13)*'Inputs &amp; Assumptions'!$L$78</f>
        <v>19.669693638438893</v>
      </c>
      <c r="AG69" s="209">
        <f>(AG24/$L$13)*'Inputs &amp; Assumptions'!$L$78</f>
        <v>18.686208956516943</v>
      </c>
      <c r="AH69" s="209">
        <f>(AH24/$L$13)*'Inputs &amp; Assumptions'!$L$78</f>
        <v>17.751898508691099</v>
      </c>
      <c r="AI69" s="209">
        <f>(AI24/$L$13)*'Inputs &amp; Assumptions'!$L$78</f>
        <v>16.910507154717518</v>
      </c>
      <c r="AJ69" s="209">
        <f>(AJ24/$L$13)*'Inputs &amp; Assumptions'!$L$78</f>
        <v>16.021088404093714</v>
      </c>
      <c r="AK69" s="209">
        <f>(AK24/$L$13)*'Inputs &amp; Assumptions'!$L$78</f>
        <v>15.220033983889028</v>
      </c>
      <c r="AL69" s="209">
        <f>(AL24/$L$13)*'Inputs &amp; Assumptions'!$L$78</f>
        <v>14.459032284694574</v>
      </c>
      <c r="AM69" s="209">
        <f>(AM24/$L$13)*'Inputs &amp; Assumptions'!$L$78</f>
        <v>13.773713768187131</v>
      </c>
      <c r="AN69" s="209">
        <f>(AN24/$L$13)*'Inputs &amp; Assumptions'!$L$78</f>
        <v>10.5065637875303</v>
      </c>
      <c r="AO69" s="209">
        <f>(AO24/$L$13)*'Inputs &amp; Assumptions'!$L$78</f>
        <v>0</v>
      </c>
    </row>
    <row r="70" spans="2:41"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</row>
    <row r="71" spans="2:41">
      <c r="E71" s="22" t="s">
        <v>271</v>
      </c>
      <c r="L71" s="209">
        <f ca="1">L67-L69</f>
        <v>2036.4096922152892</v>
      </c>
      <c r="M71" s="209">
        <f t="shared" ref="M71:AN71" ca="1" si="15">M67-M69</f>
        <v>2057.0239599559673</v>
      </c>
      <c r="N71" s="209">
        <f t="shared" ca="1" si="15"/>
        <v>2018.2692993349235</v>
      </c>
      <c r="O71" s="209">
        <f t="shared" ca="1" si="15"/>
        <v>1876.1295706299243</v>
      </c>
      <c r="P71" s="209">
        <f t="shared" ca="1" si="15"/>
        <v>1770.733175575936</v>
      </c>
      <c r="Q71" s="209">
        <f t="shared" ca="1" si="15"/>
        <v>1682.1965167971389</v>
      </c>
      <c r="R71" s="209">
        <f t="shared" ca="1" si="15"/>
        <v>1598.0866909572817</v>
      </c>
      <c r="S71" s="209">
        <f t="shared" ca="1" si="15"/>
        <v>1522.3417601256076</v>
      </c>
      <c r="T71" s="209">
        <f t="shared" ca="1" si="15"/>
        <v>1442.2732385889472</v>
      </c>
      <c r="U71" s="209">
        <f t="shared" ca="1" si="15"/>
        <v>1370.1595766595003</v>
      </c>
      <c r="V71" s="209">
        <f t="shared" ca="1" si="15"/>
        <v>1301.6515978265247</v>
      </c>
      <c r="W71" s="209">
        <f t="shared" ca="1" si="15"/>
        <v>1239.9568782583083</v>
      </c>
      <c r="X71" s="209">
        <f t="shared" ca="1" si="15"/>
        <v>1174.7405670384385</v>
      </c>
      <c r="Y71" s="209">
        <f t="shared" ca="1" si="15"/>
        <v>1116.0035386865163</v>
      </c>
      <c r="Z71" s="209">
        <f t="shared" ca="1" si="15"/>
        <v>1060.2033617521904</v>
      </c>
      <c r="AA71" s="209">
        <f t="shared" ca="1" si="15"/>
        <v>1009.952627071881</v>
      </c>
      <c r="AB71" s="209">
        <f t="shared" ca="1" si="15"/>
        <v>956.83353398135193</v>
      </c>
      <c r="AC71" s="209">
        <f t="shared" ca="1" si="15"/>
        <v>908.99185728228417</v>
      </c>
      <c r="AD71" s="209">
        <f t="shared" ca="1" si="15"/>
        <v>863.54226441816991</v>
      </c>
      <c r="AE71" s="209">
        <f t="shared" ca="1" si="15"/>
        <v>822.61272695396622</v>
      </c>
      <c r="AF71" s="209">
        <f t="shared" ca="1" si="15"/>
        <v>779.34689363739847</v>
      </c>
      <c r="AG71" s="209">
        <f t="shared" ca="1" si="15"/>
        <v>740.37954895552843</v>
      </c>
      <c r="AH71" s="209">
        <f t="shared" ca="1" si="15"/>
        <v>703.36057150775196</v>
      </c>
      <c r="AI71" s="209">
        <f t="shared" ca="1" si="15"/>
        <v>670.02320743354892</v>
      </c>
      <c r="AJ71" s="209">
        <f t="shared" ca="1" si="15"/>
        <v>634.78291578574624</v>
      </c>
      <c r="AK71" s="209">
        <f t="shared" ca="1" si="15"/>
        <v>603.04376999645876</v>
      </c>
      <c r="AL71" s="209">
        <f t="shared" ca="1" si="15"/>
        <v>572.89158149663569</v>
      </c>
      <c r="AM71" s="209">
        <f t="shared" ca="1" si="15"/>
        <v>545.73809009967204</v>
      </c>
      <c r="AN71" s="209">
        <f t="shared" ca="1" si="15"/>
        <v>416.28802161988273</v>
      </c>
      <c r="AO71" s="209">
        <f t="shared" ref="AO71" ca="1" si="16">AO67-AO69</f>
        <v>0</v>
      </c>
    </row>
    <row r="72" spans="2:41"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09"/>
    </row>
    <row r="73" spans="2:41">
      <c r="B73" s="37" t="s">
        <v>272</v>
      </c>
      <c r="C73" s="36" t="s">
        <v>273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5" spans="2:41">
      <c r="E75" s="22" t="s">
        <v>274</v>
      </c>
      <c r="L75" s="22">
        <v>1</v>
      </c>
      <c r="M75" s="22">
        <v>2</v>
      </c>
      <c r="N75" s="22">
        <v>3</v>
      </c>
      <c r="O75" s="22">
        <v>4</v>
      </c>
      <c r="P75" s="22">
        <v>5</v>
      </c>
      <c r="Q75" s="22">
        <v>6</v>
      </c>
      <c r="R75" s="22">
        <v>7</v>
      </c>
      <c r="S75" s="22">
        <v>8</v>
      </c>
      <c r="T75" s="22">
        <v>9</v>
      </c>
      <c r="U75" s="22">
        <v>10</v>
      </c>
      <c r="V75" s="22">
        <v>11</v>
      </c>
      <c r="W75" s="22">
        <v>12</v>
      </c>
      <c r="X75" s="22">
        <v>13</v>
      </c>
      <c r="Y75" s="22">
        <v>14</v>
      </c>
      <c r="Z75" s="22">
        <v>15</v>
      </c>
      <c r="AA75" s="22">
        <v>16</v>
      </c>
      <c r="AB75" s="22">
        <v>17</v>
      </c>
      <c r="AC75" s="22">
        <v>18</v>
      </c>
      <c r="AD75" s="22">
        <v>19</v>
      </c>
      <c r="AE75" s="22">
        <v>20</v>
      </c>
      <c r="AF75" s="22">
        <v>21</v>
      </c>
      <c r="AG75" s="22">
        <v>22</v>
      </c>
      <c r="AH75" s="22">
        <v>23</v>
      </c>
      <c r="AI75" s="22">
        <v>24</v>
      </c>
      <c r="AJ75" s="22">
        <v>25</v>
      </c>
      <c r="AK75" s="22">
        <v>26</v>
      </c>
      <c r="AL75" s="22">
        <v>27</v>
      </c>
      <c r="AM75" s="22">
        <v>28</v>
      </c>
      <c r="AN75" s="22">
        <v>29</v>
      </c>
      <c r="AO75" s="22">
        <v>30</v>
      </c>
    </row>
    <row r="77" spans="2:41">
      <c r="E77" s="22" t="s">
        <v>275</v>
      </c>
      <c r="L77" s="216">
        <f>1/((1+'Inputs &amp; Assumptions'!$L$40)^('PD Reserves'!L75-1))</f>
        <v>1</v>
      </c>
      <c r="M77" s="216">
        <f>1/((1+'Inputs &amp; Assumptions'!$L$40)^('PD Reserves'!M75-1))</f>
        <v>0.92253221848966938</v>
      </c>
      <c r="N77" s="216">
        <f>1/((1+'Inputs &amp; Assumptions'!$L$40)^('PD Reserves'!N75-1))</f>
        <v>0.85106569415147115</v>
      </c>
      <c r="O77" s="216">
        <f>1/((1+'Inputs &amp; Assumptions'!$L$40)^('PD Reserves'!O75-1))</f>
        <v>0.78513552290600708</v>
      </c>
      <c r="P77" s="216">
        <f>1/((1+'Inputs &amp; Assumptions'!$L$40)^('PD Reserves'!P75-1))</f>
        <v>0.7243128157615254</v>
      </c>
      <c r="Q77" s="216">
        <f>1/((1+'Inputs &amp; Assumptions'!$L$40)^('PD Reserves'!Q75-1))</f>
        <v>0.66820190880497921</v>
      </c>
      <c r="R77" s="216">
        <f>1/((1+'Inputs &amp; Assumptions'!$L$40)^('PD Reserves'!R75-1))</f>
        <v>0.61643778932888915</v>
      </c>
      <c r="S77" s="216">
        <f>1/((1+'Inputs &amp; Assumptions'!$L$40)^('PD Reserves'!S75-1))</f>
        <v>0.56868372135044754</v>
      </c>
      <c r="T77" s="216">
        <f>1/((1+'Inputs &amp; Assumptions'!$L$40)^('PD Reserves'!T75-1))</f>
        <v>0.52462905507638935</v>
      </c>
      <c r="U77" s="216">
        <f>1/((1+'Inputs &amp; Assumptions'!$L$40)^('PD Reserves'!U75-1))</f>
        <v>0.48398720606376039</v>
      </c>
      <c r="V77" s="216">
        <f>1/((1+'Inputs &amp; Assumptions'!$L$40)^('PD Reserves'!V75-1))</f>
        <v>0.4464937909306177</v>
      </c>
      <c r="W77" s="216">
        <f>1/((1+'Inputs &amp; Assumptions'!$L$40)^('PD Reserves'!W75-1))</f>
        <v>0.41190490748908537</v>
      </c>
      <c r="X77" s="216">
        <f>1/((1+'Inputs &amp; Assumptions'!$L$40)^('PD Reserves'!X75-1))</f>
        <v>0.37999554811268799</v>
      </c>
      <c r="Y77" s="216">
        <f>1/((1+'Inputs &amp; Assumptions'!$L$40)^('PD Reserves'!Y75-1))</f>
        <v>0.35055813601659591</v>
      </c>
      <c r="Z77" s="216">
        <f>1/((1+'Inputs &amp; Assumptions'!$L$40)^('PD Reserves'!Z75-1))</f>
        <v>0.32340117492899351</v>
      </c>
      <c r="AA77" s="216">
        <f>1/((1+'Inputs &amp; Assumptions'!$L$40)^('PD Reserves'!AA75-1))</f>
        <v>0.29834800336941003</v>
      </c>
      <c r="AB77" s="216">
        <f>1/((1+'Inputs &amp; Assumptions'!$L$40)^('PD Reserves'!AB75-1))</f>
        <v>0.27523564543034518</v>
      </c>
      <c r="AC77" s="216">
        <f>1/((1+'Inputs &amp; Assumptions'!$L$40)^('PD Reserves'!AC75-1))</f>
        <v>0.2539137505862924</v>
      </c>
      <c r="AD77" s="216">
        <f>1/((1+'Inputs &amp; Assumptions'!$L$40)^('PD Reserves'!AD75-1))</f>
        <v>0.23424361563340493</v>
      </c>
      <c r="AE77" s="216">
        <f>1/((1+'Inputs &amp; Assumptions'!$L$40)^('PD Reserves'!AE75-1))</f>
        <v>0.21609728239732642</v>
      </c>
      <c r="AF77" s="216">
        <f>1/((1+'Inputs &amp; Assumptions'!$L$40)^('PD Reserves'!AF75-1))</f>
        <v>0.19935670533959413</v>
      </c>
      <c r="AG77" s="216">
        <f>1/((1+'Inputs &amp; Assumptions'!$L$40)^('PD Reserves'!AG75-1))</f>
        <v>0.1839129836477271</v>
      </c>
      <c r="AH77" s="216">
        <f>1/((1+'Inputs &amp; Assumptions'!$L$40)^('PD Reserves'!AH75-1))</f>
        <v>0.16966565281359197</v>
      </c>
      <c r="AI77" s="216">
        <f>1/((1+'Inputs &amp; Assumptions'!$L$40)^('PD Reserves'!AI75-1))</f>
        <v>0.15652203109162102</v>
      </c>
      <c r="AJ77" s="216">
        <f>1/((1+'Inputs &amp; Assumptions'!$L$40)^('PD Reserves'!AJ75-1))</f>
        <v>0.14439661658546216</v>
      </c>
      <c r="AK77" s="216">
        <f>1/((1+'Inputs &amp; Assumptions'!$L$40)^('PD Reserves'!AK75-1))</f>
        <v>0.13321053104098857</v>
      </c>
      <c r="AL77" s="216">
        <f>1/((1+'Inputs &amp; Assumptions'!$L$40)^('PD Reserves'!AL75-1))</f>
        <v>0.12289100672743015</v>
      </c>
      <c r="AM77" s="216">
        <f>1/((1+'Inputs &amp; Assumptions'!$L$40)^('PD Reserves'!AM75-1))</f>
        <v>0.11337091306868505</v>
      </c>
      <c r="AN77" s="216">
        <f>1/((1+'Inputs &amp; Assumptions'!$L$40)^('PD Reserves'!AN75-1))</f>
        <v>0.10458831994545346</v>
      </c>
      <c r="AO77" s="216">
        <f>1/((1+'Inputs &amp; Assumptions'!$L$40)^('PD Reserves'!AO75-1))</f>
        <v>9.6486094827386515E-2</v>
      </c>
    </row>
    <row r="79" spans="2:41">
      <c r="E79" s="22" t="s">
        <v>276</v>
      </c>
      <c r="G79" s="22" t="s">
        <v>77</v>
      </c>
      <c r="L79" s="208">
        <f ca="1">L71*L77</f>
        <v>2036.4096922152892</v>
      </c>
      <c r="M79" s="208">
        <f t="shared" ref="M79:AO79" ca="1" si="17">M71*M77</f>
        <v>1897.6708772645834</v>
      </c>
      <c r="N79" s="208">
        <f t="shared" ca="1" si="17"/>
        <v>1717.6797622230799</v>
      </c>
      <c r="O79" s="208">
        <f t="shared" ca="1" si="17"/>
        <v>1473.0159714759482</v>
      </c>
      <c r="P79" s="208">
        <f t="shared" ca="1" si="17"/>
        <v>1282.5647323637538</v>
      </c>
      <c r="Q79" s="208">
        <f t="shared" ca="1" si="17"/>
        <v>1124.0469235089354</v>
      </c>
      <c r="R79" s="208">
        <f t="shared" ca="1" si="17"/>
        <v>985.1210269296264</v>
      </c>
      <c r="S79" s="208">
        <f t="shared" ca="1" si="17"/>
        <v>865.73097731542089</v>
      </c>
      <c r="T79" s="208">
        <f t="shared" ca="1" si="17"/>
        <v>756.65844632288315</v>
      </c>
      <c r="U79" s="208">
        <f t="shared" ca="1" si="17"/>
        <v>663.13970536893623</v>
      </c>
      <c r="V79" s="208">
        <f t="shared" ca="1" si="17"/>
        <v>581.17935638446079</v>
      </c>
      <c r="W79" s="208">
        <f t="shared" ca="1" si="17"/>
        <v>510.74432322944358</v>
      </c>
      <c r="X79" s="208">
        <f t="shared" ca="1" si="17"/>
        <v>446.39618566198129</v>
      </c>
      <c r="Y79" s="208">
        <f t="shared" ca="1" si="17"/>
        <v>391.22412030987016</v>
      </c>
      <c r="Z79" s="208">
        <f t="shared" ca="1" si="17"/>
        <v>342.87101285432709</v>
      </c>
      <c r="AA79" s="208">
        <f t="shared" ca="1" si="17"/>
        <v>301.31734978458604</v>
      </c>
      <c r="AB79" s="208">
        <f t="shared" ca="1" si="17"/>
        <v>263.35469529475552</v>
      </c>
      <c r="AC79" s="208">
        <f t="shared" ca="1" si="17"/>
        <v>230.80553173494459</v>
      </c>
      <c r="AD79" s="208">
        <f t="shared" ca="1" si="17"/>
        <v>202.27926226956993</v>
      </c>
      <c r="AE79" s="208">
        <f t="shared" ca="1" si="17"/>
        <v>177.76437476020601</v>
      </c>
      <c r="AF79" s="208">
        <f t="shared" ca="1" si="17"/>
        <v>155.36802903219885</v>
      </c>
      <c r="AG79" s="208">
        <f t="shared" ca="1" si="17"/>
        <v>136.16541188016967</v>
      </c>
      <c r="AH79" s="208">
        <f t="shared" ca="1" si="17"/>
        <v>119.33613052820387</v>
      </c>
      <c r="AI79" s="208">
        <f t="shared" ca="1" si="17"/>
        <v>104.87339330602158</v>
      </c>
      <c r="AJ79" s="208">
        <f t="shared" ca="1" si="17"/>
        <v>91.660505305716114</v>
      </c>
      <c r="AK79" s="208">
        <f t="shared" ca="1" si="17"/>
        <v>80.331780842188039</v>
      </c>
      <c r="AL79" s="208">
        <f t="shared" ca="1" si="17"/>
        <v>70.403223195791156</v>
      </c>
      <c r="AM79" s="208">
        <f t="shared" ca="1" si="17"/>
        <v>61.870825570960129</v>
      </c>
      <c r="AN79" s="208">
        <f t="shared" ca="1" si="17"/>
        <v>43.538864794640141</v>
      </c>
      <c r="AO79" s="208">
        <f t="shared" ca="1" si="17"/>
        <v>0</v>
      </c>
    </row>
    <row r="81" spans="5:12">
      <c r="E81" s="217" t="s">
        <v>277</v>
      </c>
      <c r="F81" s="218"/>
      <c r="G81" s="218" t="s">
        <v>77</v>
      </c>
      <c r="H81" s="218"/>
      <c r="I81" s="218"/>
      <c r="J81" s="218"/>
      <c r="K81" s="218"/>
      <c r="L81" s="219">
        <f ca="1">SUM(L79:AO79)</f>
        <v>17113.52249172849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E105-896B-47C5-9B03-D7416B9CB6C7}">
  <dimension ref="A1:BY130"/>
  <sheetViews>
    <sheetView topLeftCell="A69" workbookViewId="0">
      <selection activeCell="G22" sqref="G22:T66"/>
    </sheetView>
  </sheetViews>
  <sheetFormatPr baseColWidth="10" defaultColWidth="9.1640625" defaultRowHeight="15"/>
  <cols>
    <col min="1" max="4" width="3.1640625" style="22" customWidth="1"/>
    <col min="5" max="5" width="2.83203125" style="22" customWidth="1"/>
    <col min="6" max="6" width="9.1640625" style="22"/>
    <col min="7" max="7" width="2.1640625" style="22" customWidth="1"/>
    <col min="8" max="11" width="9.1640625" style="22"/>
    <col min="12" max="12" width="15.5" style="22" bestFit="1" customWidth="1"/>
    <col min="13" max="13" width="12.6640625" style="22" bestFit="1" customWidth="1"/>
    <col min="14" max="34" width="13.83203125" style="22" bestFit="1" customWidth="1"/>
    <col min="35" max="45" width="12.6640625" style="22" bestFit="1" customWidth="1"/>
    <col min="46" max="47" width="11.5" style="22" bestFit="1" customWidth="1"/>
    <col min="48" max="16384" width="9.1640625" style="22"/>
  </cols>
  <sheetData>
    <row r="1" spans="1:5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9">
      <c r="A2" s="29"/>
      <c r="B2" s="29"/>
      <c r="C2" s="29"/>
      <c r="D2" s="31" t="str">
        <f>Cover!C5</f>
        <v>Net Asset Value Model - Range Resources Corp. (NYSE:RRC)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</row>
    <row r="3" spans="1:51">
      <c r="A3" s="29"/>
      <c r="B3" s="29"/>
      <c r="C3" s="29"/>
      <c r="D3" s="33" t="s">
        <v>278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spans="1:5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>
      <c r="A5" s="29"/>
      <c r="B5" s="29"/>
      <c r="C5" s="29"/>
      <c r="D5" s="171" t="s">
        <v>19</v>
      </c>
      <c r="E5" s="30"/>
      <c r="F5" s="29"/>
      <c r="G5" s="30"/>
      <c r="H5" s="171" t="str" cm="1">
        <f t="array" ref="H5">_xlfn.IFS('Inputs &amp; Assumptions'!L37= 1,"Street", 'Inputs &amp; Assumptions'!L37=2,"Bear",'Inputs &amp; Assumptions'!L37=3,"Base",'Inputs &amp; Assumptions'!L37=4,"Bull")</f>
        <v>Street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</row>
    <row r="6" spans="1:51">
      <c r="A6" s="29"/>
      <c r="B6" s="29"/>
      <c r="C6" s="29"/>
      <c r="D6" s="171"/>
      <c r="E6" s="17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10" spans="1:51">
      <c r="A10" s="170"/>
      <c r="B10" s="170"/>
      <c r="C10" s="170"/>
      <c r="D10" s="170"/>
      <c r="E10" s="170"/>
      <c r="F10" s="170" t="s">
        <v>279</v>
      </c>
      <c r="G10" s="170"/>
      <c r="H10" s="170"/>
      <c r="I10" s="170"/>
      <c r="J10" s="170"/>
      <c r="K10" s="170"/>
      <c r="L10" s="170" t="s">
        <v>212</v>
      </c>
      <c r="M10" s="170" t="s">
        <v>213</v>
      </c>
      <c r="N10" s="170" t="s">
        <v>214</v>
      </c>
      <c r="O10" s="170" t="s">
        <v>215</v>
      </c>
      <c r="P10" s="170" t="s">
        <v>216</v>
      </c>
      <c r="Q10" s="170" t="s">
        <v>217</v>
      </c>
      <c r="R10" s="170" t="s">
        <v>218</v>
      </c>
      <c r="S10" s="170" t="s">
        <v>219</v>
      </c>
      <c r="T10" s="170" t="s">
        <v>220</v>
      </c>
      <c r="U10" s="170" t="s">
        <v>221</v>
      </c>
      <c r="V10" s="170" t="s">
        <v>222</v>
      </c>
      <c r="W10" s="170" t="s">
        <v>223</v>
      </c>
      <c r="X10" s="170" t="s">
        <v>224</v>
      </c>
      <c r="Y10" s="170" t="s">
        <v>225</v>
      </c>
      <c r="Z10" s="170" t="s">
        <v>226</v>
      </c>
      <c r="AA10" s="170" t="s">
        <v>227</v>
      </c>
      <c r="AB10" s="170" t="s">
        <v>228</v>
      </c>
      <c r="AC10" s="170" t="s">
        <v>229</v>
      </c>
      <c r="AD10" s="170" t="s">
        <v>230</v>
      </c>
      <c r="AE10" s="170" t="s">
        <v>231</v>
      </c>
      <c r="AF10" s="170" t="s">
        <v>232</v>
      </c>
      <c r="AG10" s="170" t="s">
        <v>233</v>
      </c>
      <c r="AH10" s="170" t="s">
        <v>234</v>
      </c>
      <c r="AI10" s="170" t="s">
        <v>235</v>
      </c>
      <c r="AJ10" s="170" t="s">
        <v>236</v>
      </c>
      <c r="AK10" s="170" t="s">
        <v>237</v>
      </c>
      <c r="AL10" s="170" t="s">
        <v>238</v>
      </c>
      <c r="AM10" s="170" t="s">
        <v>239</v>
      </c>
      <c r="AN10" s="170" t="s">
        <v>240</v>
      </c>
      <c r="AO10" s="170" t="s">
        <v>241</v>
      </c>
      <c r="AP10" s="170" t="s">
        <v>280</v>
      </c>
      <c r="AQ10" s="170" t="s">
        <v>281</v>
      </c>
      <c r="AR10" s="170" t="s">
        <v>282</v>
      </c>
      <c r="AS10" s="170" t="s">
        <v>283</v>
      </c>
      <c r="AT10" s="170" t="s">
        <v>284</v>
      </c>
      <c r="AU10" s="170" t="s">
        <v>285</v>
      </c>
      <c r="AV10" s="170" t="s">
        <v>286</v>
      </c>
      <c r="AW10" s="170" t="s">
        <v>287</v>
      </c>
      <c r="AX10" s="170" t="s">
        <v>288</v>
      </c>
      <c r="AY10" s="170" t="s">
        <v>289</v>
      </c>
    </row>
    <row r="11" spans="1:51">
      <c r="G11" s="22" t="s">
        <v>290</v>
      </c>
      <c r="J11" s="22" t="s">
        <v>291</v>
      </c>
      <c r="L11" s="22">
        <v>1</v>
      </c>
      <c r="M11" s="22">
        <v>2</v>
      </c>
      <c r="N11" s="22">
        <v>3</v>
      </c>
      <c r="O11" s="22">
        <v>4</v>
      </c>
      <c r="P11" s="22">
        <v>5</v>
      </c>
      <c r="Q11" s="22">
        <v>6</v>
      </c>
      <c r="R11" s="22">
        <v>7</v>
      </c>
      <c r="S11" s="22">
        <v>8</v>
      </c>
      <c r="T11" s="22">
        <v>9</v>
      </c>
      <c r="U11" s="22">
        <v>10</v>
      </c>
      <c r="V11" s="22">
        <v>11</v>
      </c>
      <c r="W11" s="22">
        <v>12</v>
      </c>
      <c r="X11" s="22">
        <v>13</v>
      </c>
      <c r="Y11" s="22">
        <v>14</v>
      </c>
      <c r="Z11" s="22">
        <v>15</v>
      </c>
      <c r="AA11" s="22">
        <v>16</v>
      </c>
      <c r="AB11" s="22">
        <v>17</v>
      </c>
      <c r="AC11" s="22">
        <v>18</v>
      </c>
      <c r="AD11" s="22">
        <v>19</v>
      </c>
      <c r="AE11" s="22">
        <v>20</v>
      </c>
      <c r="AF11" s="22">
        <v>21</v>
      </c>
      <c r="AG11" s="22">
        <v>22</v>
      </c>
      <c r="AH11" s="22">
        <v>23</v>
      </c>
      <c r="AI11" s="22">
        <v>24</v>
      </c>
      <c r="AJ11" s="22">
        <v>25</v>
      </c>
      <c r="AK11" s="22">
        <v>26</v>
      </c>
      <c r="AL11" s="22">
        <v>27</v>
      </c>
      <c r="AM11" s="22">
        <v>28</v>
      </c>
      <c r="AN11" s="22">
        <v>29</v>
      </c>
      <c r="AO11" s="22">
        <v>30</v>
      </c>
      <c r="AP11" s="22">
        <v>31</v>
      </c>
      <c r="AQ11" s="22">
        <v>32</v>
      </c>
      <c r="AR11" s="22">
        <v>33</v>
      </c>
      <c r="AS11" s="22">
        <v>34</v>
      </c>
      <c r="AT11" s="22">
        <v>35</v>
      </c>
      <c r="AU11" s="22">
        <v>35</v>
      </c>
      <c r="AV11" s="22">
        <v>35</v>
      </c>
      <c r="AW11" s="22">
        <v>35</v>
      </c>
      <c r="AX11" s="22">
        <v>35</v>
      </c>
      <c r="AY11" s="22">
        <v>35</v>
      </c>
    </row>
    <row r="12" spans="1:51">
      <c r="G12" s="22" t="s">
        <v>242</v>
      </c>
      <c r="K12" s="167"/>
      <c r="L12" s="210">
        <v>365</v>
      </c>
      <c r="M12" s="210">
        <v>365</v>
      </c>
      <c r="N12" s="210">
        <v>365</v>
      </c>
      <c r="O12" s="210">
        <v>366</v>
      </c>
      <c r="P12" s="210">
        <v>365</v>
      </c>
      <c r="Q12" s="210">
        <v>365</v>
      </c>
      <c r="R12" s="210">
        <v>365</v>
      </c>
      <c r="S12" s="210">
        <v>366</v>
      </c>
      <c r="T12" s="210">
        <v>365</v>
      </c>
      <c r="U12" s="210">
        <v>365</v>
      </c>
      <c r="V12" s="210">
        <v>365</v>
      </c>
      <c r="W12" s="210">
        <v>366</v>
      </c>
      <c r="X12" s="210">
        <v>365</v>
      </c>
      <c r="Y12" s="210">
        <v>365</v>
      </c>
      <c r="Z12" s="210">
        <v>365</v>
      </c>
      <c r="AA12" s="210">
        <v>366</v>
      </c>
      <c r="AB12" s="210">
        <v>365</v>
      </c>
      <c r="AC12" s="210">
        <v>365</v>
      </c>
      <c r="AD12" s="210">
        <v>365</v>
      </c>
      <c r="AE12" s="210">
        <v>366</v>
      </c>
      <c r="AF12" s="210">
        <v>365</v>
      </c>
      <c r="AG12" s="210">
        <v>365</v>
      </c>
      <c r="AH12" s="210">
        <v>365</v>
      </c>
      <c r="AI12" s="210">
        <v>366</v>
      </c>
      <c r="AJ12" s="210">
        <v>365</v>
      </c>
      <c r="AK12" s="210">
        <v>365</v>
      </c>
      <c r="AL12" s="210">
        <v>365</v>
      </c>
      <c r="AM12" s="210">
        <v>366</v>
      </c>
      <c r="AN12" s="210">
        <v>365</v>
      </c>
      <c r="AO12" s="210">
        <v>365</v>
      </c>
      <c r="AP12" s="210">
        <v>365</v>
      </c>
      <c r="AQ12" s="210">
        <v>366</v>
      </c>
      <c r="AR12" s="210">
        <v>365</v>
      </c>
      <c r="AS12" s="210">
        <v>365</v>
      </c>
      <c r="AT12" s="210">
        <v>365</v>
      </c>
      <c r="AU12" s="210">
        <v>366</v>
      </c>
      <c r="AV12" s="210">
        <v>365</v>
      </c>
      <c r="AW12" s="210">
        <v>365</v>
      </c>
      <c r="AX12" s="210">
        <v>365</v>
      </c>
      <c r="AY12" s="210">
        <v>366</v>
      </c>
    </row>
    <row r="13" spans="1:51">
      <c r="H13" s="22" t="s">
        <v>292</v>
      </c>
      <c r="J13" s="220">
        <f>SUM(L13:AO13)</f>
        <v>10275</v>
      </c>
      <c r="L13" s="220">
        <f>L16*'Inputs &amp; Assumptions'!$L$58</f>
        <v>1284.375</v>
      </c>
      <c r="M13" s="220">
        <f>M16*'Inputs &amp; Assumptions'!$L$58</f>
        <v>821.99999999999989</v>
      </c>
      <c r="N13" s="220">
        <f>N16*'Inputs &amp; Assumptions'!$L$58</f>
        <v>690.4799999999999</v>
      </c>
      <c r="O13" s="220">
        <f>O16*'Inputs &amp; Assumptions'!$L$58</f>
        <v>600.71759999999995</v>
      </c>
      <c r="P13" s="220">
        <f>P16*'Inputs &amp; Assumptions'!$L$58</f>
        <v>540.64584000000002</v>
      </c>
      <c r="Q13" s="220">
        <f>Q16*'Inputs &amp; Assumptions'!$L$58</f>
        <v>486.581256</v>
      </c>
      <c r="R13" s="220">
        <f>R16*'Inputs &amp; Assumptions'!$L$58</f>
        <v>442.78894295999999</v>
      </c>
      <c r="S13" s="220">
        <f>S16*'Inputs &amp; Assumptions'!$L$58</f>
        <v>407.36582752319998</v>
      </c>
      <c r="T13" s="220">
        <f>T16*'Inputs &amp; Assumptions'!$L$58</f>
        <v>378.85021959657598</v>
      </c>
      <c r="U13" s="220">
        <f>U16*'Inputs &amp; Assumptions'!$L$58</f>
        <v>356.11920642078144</v>
      </c>
      <c r="V13" s="220">
        <f>V16*'Inputs &amp; Assumptions'!$L$58</f>
        <v>338.31324609974234</v>
      </c>
      <c r="W13" s="220">
        <f>W16*'Inputs &amp; Assumptions'!$L$58</f>
        <v>321.39758379475523</v>
      </c>
      <c r="X13" s="220">
        <f>X16*'Inputs &amp; Assumptions'!$L$58</f>
        <v>305.32770460501746</v>
      </c>
      <c r="Y13" s="220">
        <f>Y16*'Inputs &amp; Assumptions'!$L$58</f>
        <v>290.06131937476658</v>
      </c>
      <c r="Z13" s="220">
        <f>Z16*'Inputs &amp; Assumptions'!$L$58</f>
        <v>278.45886659977589</v>
      </c>
      <c r="AA13" s="220">
        <f>AA16*'Inputs &amp; Assumptions'!$L$58</f>
        <v>267.32051193578485</v>
      </c>
      <c r="AB13" s="220">
        <f>AB16*'Inputs &amp; Assumptions'!$L$58</f>
        <v>256.62769145835347</v>
      </c>
      <c r="AC13" s="220">
        <f>AC16*'Inputs &amp; Assumptions'!$L$58</f>
        <v>246.36258380001931</v>
      </c>
      <c r="AD13" s="220">
        <f>AD16*'Inputs &amp; Assumptions'!$L$58</f>
        <v>236.50808044801852</v>
      </c>
      <c r="AE13" s="220">
        <f>AE16*'Inputs &amp; Assumptions'!$L$58</f>
        <v>227.04775723009777</v>
      </c>
      <c r="AF13" s="220">
        <f>AF16*'Inputs &amp; Assumptions'!$L$58</f>
        <v>217.96584694089384</v>
      </c>
      <c r="AG13" s="220">
        <f>AG16*'Inputs &amp; Assumptions'!$L$58</f>
        <v>209.2472130632581</v>
      </c>
      <c r="AH13" s="220">
        <f>AH16*'Inputs &amp; Assumptions'!$L$58</f>
        <v>200.87732454072776</v>
      </c>
      <c r="AI13" s="220">
        <f>AI16*'Inputs &amp; Assumptions'!$L$58</f>
        <v>192.84223155909865</v>
      </c>
      <c r="AJ13" s="220">
        <f>AJ16*'Inputs &amp; Assumptions'!$L$58</f>
        <v>185.12854229673471</v>
      </c>
      <c r="AK13" s="220">
        <f>AK16*'Inputs &amp; Assumptions'!$L$58</f>
        <v>177.7234006048653</v>
      </c>
      <c r="AL13" s="220">
        <f>AL16*'Inputs &amp; Assumptions'!$L$58</f>
        <v>170.61446458067067</v>
      </c>
      <c r="AM13" s="220">
        <f>AM16*'Inputs &amp; Assumptions'!$L$58</f>
        <v>143.25173856686479</v>
      </c>
      <c r="AN13" s="220">
        <f>AN16*'Inputs &amp; Assumptions'!$L$58</f>
        <v>0</v>
      </c>
      <c r="AO13" s="220">
        <f>AO16*'Inputs &amp; Assumptions'!$L$58</f>
        <v>0</v>
      </c>
      <c r="AP13" s="220">
        <f>AP16*'Inputs &amp; Assumptions'!$L$58</f>
        <v>0</v>
      </c>
      <c r="AQ13" s="220">
        <f>AQ16*'Inputs &amp; Assumptions'!$L$58</f>
        <v>0</v>
      </c>
      <c r="AR13" s="220">
        <f>AR16*'Inputs &amp; Assumptions'!$L$58</f>
        <v>0</v>
      </c>
      <c r="AS13" s="220">
        <f>AS16*'Inputs &amp; Assumptions'!$L$58</f>
        <v>0</v>
      </c>
      <c r="AT13" s="220">
        <f>AT16*'Inputs &amp; Assumptions'!$L$58</f>
        <v>0</v>
      </c>
      <c r="AU13" s="220">
        <f>AU16*'Inputs &amp; Assumptions'!$L$58</f>
        <v>0</v>
      </c>
      <c r="AV13" s="220">
        <f>AV16*'Inputs &amp; Assumptions'!$L$58</f>
        <v>0</v>
      </c>
      <c r="AW13" s="220">
        <f>AW16*'Inputs &amp; Assumptions'!$L$58</f>
        <v>0</v>
      </c>
      <c r="AX13" s="220">
        <f>AX16*'Inputs &amp; Assumptions'!$L$58</f>
        <v>0</v>
      </c>
      <c r="AY13" s="220">
        <f>AY16*'Inputs &amp; Assumptions'!$L$58</f>
        <v>0</v>
      </c>
    </row>
    <row r="14" spans="1:51">
      <c r="H14" s="22" t="s">
        <v>293</v>
      </c>
      <c r="J14" s="220">
        <f t="shared" ref="J14:J16" si="0">SUM(L14:AO14)</f>
        <v>746.5</v>
      </c>
      <c r="L14" s="220">
        <f>L16*'Inputs &amp; Assumptions'!$L$59/'Inputs &amp; Assumptions'!$L$35</f>
        <v>93.312499999999986</v>
      </c>
      <c r="M14" s="220">
        <f>M16*'Inputs &amp; Assumptions'!$L$59/'Inputs &amp; Assumptions'!$L$35</f>
        <v>59.719999999999978</v>
      </c>
      <c r="N14" s="220">
        <f>N16*'Inputs &amp; Assumptions'!$L$59/'Inputs &amp; Assumptions'!$L$35</f>
        <v>50.164799999999985</v>
      </c>
      <c r="O14" s="220">
        <f>O16*'Inputs &amp; Assumptions'!$L$59/'Inputs &amp; Assumptions'!$L$35</f>
        <v>43.643375999999989</v>
      </c>
      <c r="P14" s="220">
        <f>P16*'Inputs &amp; Assumptions'!$L$59/'Inputs &amp; Assumptions'!$L$35</f>
        <v>39.27903839999999</v>
      </c>
      <c r="Q14" s="220">
        <f>Q16*'Inputs &amp; Assumptions'!$L$59/'Inputs &amp; Assumptions'!$L$35</f>
        <v>35.351134559999998</v>
      </c>
      <c r="R14" s="220">
        <f>R16*'Inputs &amp; Assumptions'!$L$59/'Inputs &amp; Assumptions'!$L$35</f>
        <v>32.169532449599991</v>
      </c>
      <c r="S14" s="220">
        <f>S16*'Inputs &amp; Assumptions'!$L$59/'Inputs &amp; Assumptions'!$L$35</f>
        <v>29.595969853631996</v>
      </c>
      <c r="T14" s="220">
        <f>T16*'Inputs &amp; Assumptions'!$L$59/'Inputs &amp; Assumptions'!$L$35</f>
        <v>27.524251963877756</v>
      </c>
      <c r="U14" s="220">
        <f>U16*'Inputs &amp; Assumptions'!$L$59/'Inputs &amp; Assumptions'!$L$35</f>
        <v>25.872796846045091</v>
      </c>
      <c r="V14" s="220">
        <f>V16*'Inputs &amp; Assumptions'!$L$59/'Inputs &amp; Assumptions'!$L$35</f>
        <v>24.579157003742836</v>
      </c>
      <c r="W14" s="220">
        <f>W16*'Inputs &amp; Assumptions'!$L$59/'Inputs &amp; Assumptions'!$L$35</f>
        <v>23.350199153555693</v>
      </c>
      <c r="X14" s="220">
        <f>X16*'Inputs &amp; Assumptions'!$L$59/'Inputs &amp; Assumptions'!$L$35</f>
        <v>22.182689195877909</v>
      </c>
      <c r="Y14" s="220">
        <f>Y16*'Inputs &amp; Assumptions'!$L$59/'Inputs &amp; Assumptions'!$L$35</f>
        <v>21.073554736084013</v>
      </c>
      <c r="Z14" s="220">
        <f>Z16*'Inputs &amp; Assumptions'!$L$59/'Inputs &amp; Assumptions'!$L$35</f>
        <v>20.23061254664065</v>
      </c>
      <c r="AA14" s="220">
        <f>AA16*'Inputs &amp; Assumptions'!$L$59/'Inputs &amp; Assumptions'!$L$35</f>
        <v>19.421388044775025</v>
      </c>
      <c r="AB14" s="220">
        <f>AB16*'Inputs &amp; Assumptions'!$L$59/'Inputs &amp; Assumptions'!$L$35</f>
        <v>18.644532522984019</v>
      </c>
      <c r="AC14" s="220">
        <f>AC16*'Inputs &amp; Assumptions'!$L$59/'Inputs &amp; Assumptions'!$L$35</f>
        <v>17.898751222064661</v>
      </c>
      <c r="AD14" s="220">
        <f>AD16*'Inputs &amp; Assumptions'!$L$59/'Inputs &amp; Assumptions'!$L$35</f>
        <v>17.182801173182074</v>
      </c>
      <c r="AE14" s="220">
        <f>AE16*'Inputs &amp; Assumptions'!$L$59/'Inputs &amp; Assumptions'!$L$35</f>
        <v>16.495489126254789</v>
      </c>
      <c r="AF14" s="220">
        <f>AF16*'Inputs &amp; Assumptions'!$L$59/'Inputs &amp; Assumptions'!$L$35</f>
        <v>15.835669561204597</v>
      </c>
      <c r="AG14" s="220">
        <f>AG16*'Inputs &amp; Assumptions'!$L$59/'Inputs &amp; Assumptions'!$L$35</f>
        <v>15.202242778756412</v>
      </c>
      <c r="AH14" s="220">
        <f>AH16*'Inputs &amp; Assumptions'!$L$59/'Inputs &amp; Assumptions'!$L$35</f>
        <v>14.594153067606156</v>
      </c>
      <c r="AI14" s="220">
        <f>AI16*'Inputs &amp; Assumptions'!$L$59/'Inputs &amp; Assumptions'!$L$35</f>
        <v>14.01038694490191</v>
      </c>
      <c r="AJ14" s="220">
        <f>AJ16*'Inputs &amp; Assumptions'!$L$59/'Inputs &amp; Assumptions'!$L$35</f>
        <v>13.449971467105833</v>
      </c>
      <c r="AK14" s="220">
        <f>AK16*'Inputs &amp; Assumptions'!$L$59/'Inputs &amp; Assumptions'!$L$35</f>
        <v>12.911972608421598</v>
      </c>
      <c r="AL14" s="220">
        <f>AL16*'Inputs &amp; Assumptions'!$L$59/'Inputs &amp; Assumptions'!$L$35</f>
        <v>12.395493704084734</v>
      </c>
      <c r="AM14" s="220">
        <f>AM16*'Inputs &amp; Assumptions'!$L$59/'Inputs &amp; Assumptions'!$L$35</f>
        <v>10.407535069602391</v>
      </c>
      <c r="AN14" s="220">
        <f>AN16*'Inputs &amp; Assumptions'!$L$59/'Inputs &amp; Assumptions'!$L$35</f>
        <v>0</v>
      </c>
      <c r="AO14" s="220">
        <f>AO16*'Inputs &amp; Assumptions'!$L$59/'Inputs &amp; Assumptions'!$L$35</f>
        <v>0</v>
      </c>
      <c r="AP14" s="220">
        <f>AP16*'Inputs &amp; Assumptions'!$L$59/'Inputs &amp; Assumptions'!$L$35</f>
        <v>0</v>
      </c>
      <c r="AQ14" s="220">
        <f>AQ16*'Inputs &amp; Assumptions'!$L$59/'Inputs &amp; Assumptions'!$L$35</f>
        <v>0</v>
      </c>
      <c r="AR14" s="220">
        <f>AR16*'Inputs &amp; Assumptions'!$L$59/'Inputs &amp; Assumptions'!$L$35</f>
        <v>0</v>
      </c>
      <c r="AS14" s="220">
        <f>AS16*'Inputs &amp; Assumptions'!$L$59/'Inputs &amp; Assumptions'!$L$35</f>
        <v>0</v>
      </c>
      <c r="AT14" s="220">
        <f>AT16*'Inputs &amp; Assumptions'!$L$59/'Inputs &amp; Assumptions'!$L$35</f>
        <v>0</v>
      </c>
      <c r="AU14" s="220">
        <f>AU16*'Inputs &amp; Assumptions'!$L$59/'Inputs &amp; Assumptions'!$L$35</f>
        <v>0</v>
      </c>
      <c r="AV14" s="220">
        <f>AV16*'Inputs &amp; Assumptions'!$L$59/'Inputs &amp; Assumptions'!$L$35</f>
        <v>0</v>
      </c>
      <c r="AW14" s="220">
        <f>AW16*'Inputs &amp; Assumptions'!$L$59/'Inputs &amp; Assumptions'!$L$35</f>
        <v>0</v>
      </c>
      <c r="AX14" s="220">
        <f>AX16*'Inputs &amp; Assumptions'!$L$59/'Inputs &amp; Assumptions'!$L$35</f>
        <v>0</v>
      </c>
      <c r="AY14" s="220">
        <f>AY16*'Inputs &amp; Assumptions'!$L$59/'Inputs &amp; Assumptions'!$L$35</f>
        <v>0</v>
      </c>
    </row>
    <row r="15" spans="1:51">
      <c r="H15" s="22" t="s">
        <v>294</v>
      </c>
      <c r="J15" s="220">
        <f t="shared" si="0"/>
        <v>41.000000000000007</v>
      </c>
      <c r="L15" s="220">
        <f>L16*'Inputs &amp; Assumptions'!$L$60/'Inputs &amp; Assumptions'!$L$35</f>
        <v>5.125</v>
      </c>
      <c r="M15" s="220">
        <f>M16*'Inputs &amp; Assumptions'!$L$60/'Inputs &amp; Assumptions'!$L$35</f>
        <v>3.2799999999999994</v>
      </c>
      <c r="N15" s="220">
        <f>N16*'Inputs &amp; Assumptions'!$L$60/'Inputs &amp; Assumptions'!$L$35</f>
        <v>2.7551999999999999</v>
      </c>
      <c r="O15" s="220">
        <f>O16*'Inputs &amp; Assumptions'!$L$60/'Inputs &amp; Assumptions'!$L$35</f>
        <v>2.3970239999999996</v>
      </c>
      <c r="P15" s="220">
        <f>P16*'Inputs &amp; Assumptions'!$L$60/'Inputs &amp; Assumptions'!$L$35</f>
        <v>2.1573216</v>
      </c>
      <c r="Q15" s="220">
        <f>Q16*'Inputs &amp; Assumptions'!$L$60/'Inputs &amp; Assumptions'!$L$35</f>
        <v>1.9415894400000002</v>
      </c>
      <c r="R15" s="220">
        <f>R16*'Inputs &amp; Assumptions'!$L$60/'Inputs &amp; Assumptions'!$L$35</f>
        <v>1.7668463903999998</v>
      </c>
      <c r="S15" s="220">
        <f>S16*'Inputs &amp; Assumptions'!$L$60/'Inputs &amp; Assumptions'!$L$35</f>
        <v>1.6254986791680002</v>
      </c>
      <c r="T15" s="220">
        <f>T16*'Inputs &amp; Assumptions'!$L$60/'Inputs &amp; Assumptions'!$L$35</f>
        <v>1.5117137716262399</v>
      </c>
      <c r="U15" s="220">
        <f>U16*'Inputs &amp; Assumptions'!$L$60/'Inputs &amp; Assumptions'!$L$35</f>
        <v>1.4210109453286657</v>
      </c>
      <c r="V15" s="220">
        <f>V16*'Inputs &amp; Assumptions'!$L$60/'Inputs &amp; Assumptions'!$L$35</f>
        <v>1.3499603980622323</v>
      </c>
      <c r="W15" s="220">
        <f>W16*'Inputs &amp; Assumptions'!$L$60/'Inputs &amp; Assumptions'!$L$35</f>
        <v>1.2824623781591207</v>
      </c>
      <c r="X15" s="220">
        <f>X16*'Inputs &amp; Assumptions'!$L$60/'Inputs &amp; Assumptions'!$L$35</f>
        <v>1.2183392592511646</v>
      </c>
      <c r="Y15" s="220">
        <f>Y16*'Inputs &amp; Assumptions'!$L$60/'Inputs &amp; Assumptions'!$L$35</f>
        <v>1.1574222962886063</v>
      </c>
      <c r="Z15" s="220">
        <f>Z16*'Inputs &amp; Assumptions'!$L$60/'Inputs &amp; Assumptions'!$L$35</f>
        <v>1.111125404437062</v>
      </c>
      <c r="AA15" s="220">
        <f>AA16*'Inputs &amp; Assumptions'!$L$60/'Inputs &amp; Assumptions'!$L$35</f>
        <v>1.0666803882595794</v>
      </c>
      <c r="AB15" s="220">
        <f>AB16*'Inputs &amp; Assumptions'!$L$60/'Inputs &amp; Assumptions'!$L$35</f>
        <v>1.0240131727291961</v>
      </c>
      <c r="AC15" s="220">
        <f>AC16*'Inputs &amp; Assumptions'!$L$60/'Inputs &amp; Assumptions'!$L$35</f>
        <v>0.98305264582002838</v>
      </c>
      <c r="AD15" s="220">
        <f>AD16*'Inputs &amp; Assumptions'!$L$60/'Inputs &amp; Assumptions'!$L$35</f>
        <v>0.94373053998722722</v>
      </c>
      <c r="AE15" s="220">
        <f>AE16*'Inputs &amp; Assumptions'!$L$60/'Inputs &amp; Assumptions'!$L$35</f>
        <v>0.90598131838773799</v>
      </c>
      <c r="AF15" s="220">
        <f>AF16*'Inputs &amp; Assumptions'!$L$60/'Inputs &amp; Assumptions'!$L$35</f>
        <v>0.86974206565222856</v>
      </c>
      <c r="AG15" s="220">
        <f>AG16*'Inputs &amp; Assumptions'!$L$60/'Inputs &amp; Assumptions'!$L$35</f>
        <v>0.83495238302613928</v>
      </c>
      <c r="AH15" s="220">
        <f>AH16*'Inputs &amp; Assumptions'!$L$60/'Inputs &amp; Assumptions'!$L$35</f>
        <v>0.80155428770509374</v>
      </c>
      <c r="AI15" s="220">
        <f>AI16*'Inputs &amp; Assumptions'!$L$60/'Inputs &amp; Assumptions'!$L$35</f>
        <v>0.76949211619688995</v>
      </c>
      <c r="AJ15" s="220">
        <f>AJ16*'Inputs &amp; Assumptions'!$L$60/'Inputs &amp; Assumptions'!$L$35</f>
        <v>0.73871243154901434</v>
      </c>
      <c r="AK15" s="220">
        <f>AK16*'Inputs &amp; Assumptions'!$L$60/'Inputs &amp; Assumptions'!$L$35</f>
        <v>0.70916393428705371</v>
      </c>
      <c r="AL15" s="220">
        <f>AL16*'Inputs &amp; Assumptions'!$L$60/'Inputs &amp; Assumptions'!$L$35</f>
        <v>0.68079737691557163</v>
      </c>
      <c r="AM15" s="220">
        <f>AM16*'Inputs &amp; Assumptions'!$L$60/'Inputs &amp; Assumptions'!$L$35</f>
        <v>0.5716127767631588</v>
      </c>
      <c r="AN15" s="220">
        <f>AN16*'Inputs &amp; Assumptions'!$L$60/'Inputs &amp; Assumptions'!$L$35</f>
        <v>0</v>
      </c>
      <c r="AO15" s="220">
        <f>AO16*'Inputs &amp; Assumptions'!$L$60/'Inputs &amp; Assumptions'!$L$35</f>
        <v>0</v>
      </c>
      <c r="AP15" s="220">
        <f>AP16*'Inputs &amp; Assumptions'!$L$60/'Inputs &amp; Assumptions'!$L$35</f>
        <v>0</v>
      </c>
      <c r="AQ15" s="220">
        <f>AQ16*'Inputs &amp; Assumptions'!$L$60/'Inputs &amp; Assumptions'!$L$35</f>
        <v>0</v>
      </c>
      <c r="AR15" s="220">
        <f>AR16*'Inputs &amp; Assumptions'!$L$60/'Inputs &amp; Assumptions'!$L$35</f>
        <v>0</v>
      </c>
      <c r="AS15" s="220">
        <f>AS16*'Inputs &amp; Assumptions'!$L$60/'Inputs &amp; Assumptions'!$L$35</f>
        <v>0</v>
      </c>
      <c r="AT15" s="220">
        <f>AT16*'Inputs &amp; Assumptions'!$L$60/'Inputs &amp; Assumptions'!$L$35</f>
        <v>0</v>
      </c>
      <c r="AU15" s="220">
        <f>AU16*'Inputs &amp; Assumptions'!$L$60/'Inputs &amp; Assumptions'!$L$35</f>
        <v>0</v>
      </c>
      <c r="AV15" s="220">
        <f>AV16*'Inputs &amp; Assumptions'!$L$60/'Inputs &amp; Assumptions'!$L$35</f>
        <v>0</v>
      </c>
      <c r="AW15" s="220">
        <f>AW16*'Inputs &amp; Assumptions'!$L$60/'Inputs &amp; Assumptions'!$L$35</f>
        <v>0</v>
      </c>
      <c r="AX15" s="220">
        <f>AX16*'Inputs &amp; Assumptions'!$L$60/'Inputs &amp; Assumptions'!$L$35</f>
        <v>0</v>
      </c>
      <c r="AY15" s="220">
        <f>AY16*'Inputs &amp; Assumptions'!$L$60/'Inputs &amp; Assumptions'!$L$35</f>
        <v>0</v>
      </c>
    </row>
    <row r="16" spans="1:51">
      <c r="G16" s="22" t="s">
        <v>295</v>
      </c>
      <c r="J16" s="220">
        <f t="shared" si="0"/>
        <v>15000</v>
      </c>
      <c r="L16" s="206">
        <f>MIN('Inputs &amp; Assumptions'!$L$85,'Inputs &amp; Assumptions'!$L$90*L12)</f>
        <v>1874.9999999999998</v>
      </c>
      <c r="M16" s="206">
        <f>MIN(L16*(1-M17),'Inputs &amp; Assumptions'!$L$85-SUM($L$16:L16))</f>
        <v>1199.9999999999998</v>
      </c>
      <c r="N16" s="206">
        <f>MIN(M16*(1-N17),'Inputs &amp; Assumptions'!$L$85-SUM($L$16:M16))</f>
        <v>1007.9999999999998</v>
      </c>
      <c r="O16" s="206">
        <f>MIN(N16*(1-O17),'Inputs &amp; Assumptions'!$L$85-SUM($L$16:N16))</f>
        <v>876.95999999999981</v>
      </c>
      <c r="P16" s="206">
        <f>MIN(O16*(1-P17),'Inputs &amp; Assumptions'!$L$85-SUM($L$16:O16))</f>
        <v>789.2639999999999</v>
      </c>
      <c r="Q16" s="206">
        <f>MIN(P16*(1-Q17),'Inputs &amp; Assumptions'!$L$85-SUM($L$16:P16))</f>
        <v>710.33759999999995</v>
      </c>
      <c r="R16" s="206">
        <f>MIN(Q16*(1-R17),'Inputs &amp; Assumptions'!$L$85-SUM($L$16:Q16))</f>
        <v>646.40721599999995</v>
      </c>
      <c r="S16" s="206">
        <f>MIN(R16*(1-S17),'Inputs &amp; Assumptions'!$L$85-SUM($L$16:R16))</f>
        <v>594.69463871999994</v>
      </c>
      <c r="T16" s="206">
        <f>MIN(S16*(1-T17),'Inputs &amp; Assumptions'!$L$85-SUM($L$16:S16))</f>
        <v>553.06601400959994</v>
      </c>
      <c r="U16" s="206">
        <f>MIN(T16*(1-U17),'Inputs &amp; Assumptions'!$L$85-SUM($L$16:T16))</f>
        <v>519.88205316902395</v>
      </c>
      <c r="V16" s="206">
        <f>MIN(U16*(1-V17),'Inputs &amp; Assumptions'!$L$85-SUM($L$16:U16))</f>
        <v>493.88795051057275</v>
      </c>
      <c r="W16" s="206">
        <f>MIN(V16*(1-W17),'Inputs &amp; Assumptions'!$L$85-SUM($L$16:V16))</f>
        <v>469.19355298504411</v>
      </c>
      <c r="X16" s="206">
        <f>MIN(W16*(1-X17),'Inputs &amp; Assumptions'!$L$85-SUM($L$16:W16))</f>
        <v>445.73387533579188</v>
      </c>
      <c r="Y16" s="206">
        <f>MIN(X16*(1-Y17),'Inputs &amp; Assumptions'!$L$85-SUM($L$16:X16))</f>
        <v>423.44718156900228</v>
      </c>
      <c r="Z16" s="206">
        <f>MIN(Y16*(1-Z17),'Inputs &amp; Assumptions'!$L$85-SUM($L$16:Y16))</f>
        <v>406.50929430624217</v>
      </c>
      <c r="AA16" s="206">
        <f>MIN(Z16*(1-AA17),'Inputs &amp; Assumptions'!$L$85-SUM($L$16:Z16))</f>
        <v>390.24892253399247</v>
      </c>
      <c r="AB16" s="206">
        <f>MIN(AA16*(1-AB17),'Inputs &amp; Assumptions'!$L$85-SUM($L$16:AA16))</f>
        <v>374.63896563263273</v>
      </c>
      <c r="AC16" s="206">
        <f>MIN(AB16*(1-AC17),'Inputs &amp; Assumptions'!$L$85-SUM($L$16:AB16))</f>
        <v>359.65340700732742</v>
      </c>
      <c r="AD16" s="206">
        <f>MIN(AC16*(1-AD17),'Inputs &amp; Assumptions'!$L$85-SUM($L$16:AC16))</f>
        <v>345.26727072703432</v>
      </c>
      <c r="AE16" s="206">
        <f>MIN(AD16*(1-AE17),'Inputs &amp; Assumptions'!$L$85-SUM($L$16:AD16))</f>
        <v>331.45657989795291</v>
      </c>
      <c r="AF16" s="206">
        <f>MIN(AE16*(1-AF17),'Inputs &amp; Assumptions'!$L$85-SUM($L$16:AE16))</f>
        <v>318.19831670203479</v>
      </c>
      <c r="AG16" s="206">
        <f>MIN(AF16*(1-AG17),'Inputs &amp; Assumptions'!$L$85-SUM($L$16:AF16))</f>
        <v>305.47038403395339</v>
      </c>
      <c r="AH16" s="206">
        <f>MIN(AG16*(1-AH17),'Inputs &amp; Assumptions'!$L$85-SUM($L$16:AG16))</f>
        <v>293.25156867259523</v>
      </c>
      <c r="AI16" s="206">
        <f>MIN(AH16*(1-AI17),'Inputs &amp; Assumptions'!$L$85-SUM($L$16:AH16))</f>
        <v>281.52150592569143</v>
      </c>
      <c r="AJ16" s="206">
        <f>MIN(AI16*(1-AJ17),'Inputs &amp; Assumptions'!$L$85-SUM($L$16:AI16))</f>
        <v>270.26064568866377</v>
      </c>
      <c r="AK16" s="206">
        <f>MIN(AJ16*(1-AK17),'Inputs &amp; Assumptions'!$L$85-SUM($L$16:AJ16))</f>
        <v>259.4502198611172</v>
      </c>
      <c r="AL16" s="206">
        <f>MIN(AK16*(1-AL17),'Inputs &amp; Assumptions'!$L$85-SUM($L$16:AK16))</f>
        <v>249.07221106667251</v>
      </c>
      <c r="AM16" s="206">
        <f>MIN(AL16*(1-AM17),'Inputs &amp; Assumptions'!$L$85-SUM($L$16:AL16))</f>
        <v>209.12662564505808</v>
      </c>
      <c r="AN16" s="206">
        <f>MIN(AM16*(1-AN17),'Inputs &amp; Assumptions'!$L$85-SUM($L$16:AM16))</f>
        <v>0</v>
      </c>
      <c r="AO16" s="206">
        <f>MIN(AN16*(1-AO17),'Inputs &amp; Assumptions'!$L$85-SUM($L$16:AN16))</f>
        <v>0</v>
      </c>
      <c r="AP16" s="206">
        <f>MIN(AO16*(1-AP17),'Inputs &amp; Assumptions'!$L$85-SUM($L$16:AO16))</f>
        <v>0</v>
      </c>
      <c r="AQ16" s="206">
        <f>MIN(AP16*(1-AQ17),'Inputs &amp; Assumptions'!$L$85-SUM($L$16:AP16))</f>
        <v>0</v>
      </c>
      <c r="AR16" s="206">
        <f>MIN(AQ16*(1-AR17),'Inputs &amp; Assumptions'!$L$85-SUM($L$16:AQ16))</f>
        <v>0</v>
      </c>
      <c r="AS16" s="206">
        <f>MIN(AR16*(1-AS17),'Inputs &amp; Assumptions'!$L$85-SUM($L$16:AR16))</f>
        <v>0</v>
      </c>
      <c r="AT16" s="206">
        <f>MIN(AS16*(1-AT17),'Inputs &amp; Assumptions'!$L$85-SUM($L$16:AS16))</f>
        <v>0</v>
      </c>
      <c r="AU16" s="206">
        <f>MIN(AT16*(1-AU17),'Inputs &amp; Assumptions'!$L$85-SUM($L$16:AT16))</f>
        <v>0</v>
      </c>
      <c r="AV16" s="206">
        <f>MIN(AU16*(1-AV17),'Inputs &amp; Assumptions'!$L$85-SUM($L$16:AU16))</f>
        <v>0</v>
      </c>
      <c r="AW16" s="206">
        <f>MIN(AV16*(1-AW17),'Inputs &amp; Assumptions'!$L$85-SUM($L$16:AV16))</f>
        <v>0</v>
      </c>
      <c r="AX16" s="206">
        <f>MIN(AW16*(1-AX17),'Inputs &amp; Assumptions'!$L$85-SUM($L$16:AW16))</f>
        <v>0</v>
      </c>
      <c r="AY16" s="206">
        <f>MIN(AX16*(1-AY17),'Inputs &amp; Assumptions'!$L$85-SUM($L$16:AX16))</f>
        <v>0</v>
      </c>
    </row>
    <row r="17" spans="2:51">
      <c r="G17" s="22" t="s">
        <v>296</v>
      </c>
      <c r="M17" s="203">
        <v>0.36</v>
      </c>
      <c r="N17" s="203">
        <v>0.16</v>
      </c>
      <c r="O17" s="203">
        <v>0.13</v>
      </c>
      <c r="P17" s="203">
        <v>0.1</v>
      </c>
      <c r="Q17" s="203">
        <v>0.1</v>
      </c>
      <c r="R17" s="203">
        <v>0.09</v>
      </c>
      <c r="S17" s="203">
        <v>0.08</v>
      </c>
      <c r="T17" s="203">
        <v>7.0000000000000007E-2</v>
      </c>
      <c r="U17" s="203">
        <v>0.06</v>
      </c>
      <c r="V17" s="203">
        <v>0.05</v>
      </c>
      <c r="W17" s="203">
        <v>0.05</v>
      </c>
      <c r="X17" s="203">
        <v>0.05</v>
      </c>
      <c r="Y17" s="203">
        <v>0.05</v>
      </c>
      <c r="Z17" s="203">
        <v>0.04</v>
      </c>
      <c r="AA17" s="203">
        <v>0.04</v>
      </c>
      <c r="AB17" s="203">
        <v>0.04</v>
      </c>
      <c r="AC17" s="203">
        <v>0.04</v>
      </c>
      <c r="AD17" s="203">
        <v>0.04</v>
      </c>
      <c r="AE17" s="203">
        <v>0.04</v>
      </c>
      <c r="AF17" s="203">
        <v>0.04</v>
      </c>
      <c r="AG17" s="203">
        <v>0.04</v>
      </c>
      <c r="AH17" s="203">
        <v>0.04</v>
      </c>
      <c r="AI17" s="203">
        <v>0.04</v>
      </c>
      <c r="AJ17" s="203">
        <v>0.04</v>
      </c>
      <c r="AK17" s="203">
        <v>0.04</v>
      </c>
      <c r="AL17" s="203">
        <v>0.04</v>
      </c>
      <c r="AM17" s="203">
        <v>0.04</v>
      </c>
      <c r="AN17" s="203">
        <v>0.04</v>
      </c>
      <c r="AO17" s="203">
        <v>0.04</v>
      </c>
      <c r="AP17" s="203">
        <v>0.04</v>
      </c>
      <c r="AQ17" s="203">
        <v>0.04</v>
      </c>
      <c r="AR17" s="203">
        <v>0.04</v>
      </c>
      <c r="AS17" s="203">
        <v>0.04</v>
      </c>
      <c r="AT17" s="203">
        <v>0.04</v>
      </c>
      <c r="AU17" s="203">
        <v>1.04</v>
      </c>
      <c r="AV17" s="203">
        <v>2.04</v>
      </c>
      <c r="AW17" s="203">
        <v>3.04</v>
      </c>
      <c r="AX17" s="203">
        <v>4.04</v>
      </c>
      <c r="AY17" s="203">
        <v>5.04</v>
      </c>
    </row>
    <row r="19" spans="2:51">
      <c r="B19" s="37" t="s">
        <v>20</v>
      </c>
      <c r="C19" s="36" t="s">
        <v>297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</row>
    <row r="22" spans="2:51">
      <c r="G22" s="22" t="s">
        <v>290</v>
      </c>
      <c r="L22" s="22">
        <v>1</v>
      </c>
      <c r="M22" s="22">
        <v>2</v>
      </c>
      <c r="N22" s="22">
        <v>3</v>
      </c>
      <c r="O22" s="22">
        <v>4</v>
      </c>
      <c r="P22" s="22">
        <v>5</v>
      </c>
      <c r="Q22" s="22">
        <v>6</v>
      </c>
      <c r="R22" s="22">
        <v>7</v>
      </c>
      <c r="S22" s="22">
        <v>8</v>
      </c>
      <c r="T22" s="22">
        <v>9</v>
      </c>
      <c r="U22" s="22">
        <v>10</v>
      </c>
      <c r="V22" s="22">
        <v>11</v>
      </c>
      <c r="W22" s="22">
        <v>12</v>
      </c>
      <c r="X22" s="22">
        <v>13</v>
      </c>
      <c r="Y22" s="22">
        <v>14</v>
      </c>
      <c r="Z22" s="22">
        <v>15</v>
      </c>
      <c r="AA22" s="22">
        <v>16</v>
      </c>
      <c r="AB22" s="22">
        <v>17</v>
      </c>
      <c r="AC22" s="22">
        <v>18</v>
      </c>
      <c r="AD22" s="22">
        <v>19</v>
      </c>
      <c r="AE22" s="22">
        <v>20</v>
      </c>
      <c r="AF22" s="22">
        <v>21</v>
      </c>
      <c r="AG22" s="22">
        <v>22</v>
      </c>
      <c r="AH22" s="22">
        <v>23</v>
      </c>
      <c r="AI22" s="22">
        <v>24</v>
      </c>
      <c r="AJ22" s="22">
        <v>25</v>
      </c>
      <c r="AK22" s="22">
        <v>26</v>
      </c>
      <c r="AL22" s="22">
        <v>27</v>
      </c>
      <c r="AM22" s="22">
        <v>28</v>
      </c>
      <c r="AN22" s="22">
        <v>29</v>
      </c>
      <c r="AO22" s="22">
        <v>30</v>
      </c>
      <c r="AP22" s="229" t="s">
        <v>291</v>
      </c>
    </row>
    <row r="23" spans="2:51">
      <c r="G23" s="22" t="s">
        <v>298</v>
      </c>
      <c r="L23" s="221">
        <v>55</v>
      </c>
      <c r="M23" s="221">
        <v>55</v>
      </c>
      <c r="N23" s="221">
        <v>55</v>
      </c>
      <c r="O23" s="221">
        <v>55</v>
      </c>
      <c r="P23" s="221">
        <v>55</v>
      </c>
      <c r="Q23" s="221">
        <v>55</v>
      </c>
      <c r="R23" s="221">
        <v>55</v>
      </c>
      <c r="S23" s="221">
        <v>28.378866666666681</v>
      </c>
      <c r="T23" s="221">
        <v>0</v>
      </c>
      <c r="U23" s="221">
        <v>0</v>
      </c>
      <c r="V23" s="221">
        <v>0</v>
      </c>
      <c r="W23" s="221">
        <v>0</v>
      </c>
      <c r="X23" s="221">
        <v>0</v>
      </c>
      <c r="Y23" s="221">
        <v>0</v>
      </c>
      <c r="Z23" s="221">
        <v>0</v>
      </c>
      <c r="AA23" s="221">
        <v>0</v>
      </c>
      <c r="AB23" s="221">
        <v>0</v>
      </c>
      <c r="AC23" s="221">
        <v>0</v>
      </c>
      <c r="AD23" s="221">
        <v>0</v>
      </c>
      <c r="AE23" s="221">
        <v>0</v>
      </c>
      <c r="AF23" s="221">
        <v>0</v>
      </c>
      <c r="AG23" s="221">
        <v>0</v>
      </c>
      <c r="AH23" s="221">
        <v>0</v>
      </c>
      <c r="AI23" s="221">
        <v>0</v>
      </c>
      <c r="AJ23" s="221">
        <v>0</v>
      </c>
      <c r="AK23" s="221">
        <v>0</v>
      </c>
      <c r="AL23" s="221">
        <v>0</v>
      </c>
      <c r="AM23" s="221">
        <v>0</v>
      </c>
      <c r="AN23" s="221">
        <v>0</v>
      </c>
      <c r="AO23" s="221">
        <v>0</v>
      </c>
    </row>
    <row r="24" spans="2:51">
      <c r="G24" s="22" t="s">
        <v>299</v>
      </c>
      <c r="L24" s="220">
        <f>L23*'Inputs &amp; Assumptions'!$L$92</f>
        <v>563.75</v>
      </c>
      <c r="M24" s="220">
        <f>M23*'Inputs &amp; Assumptions'!$L$92</f>
        <v>563.75</v>
      </c>
      <c r="N24" s="220">
        <f>N23*'Inputs &amp; Assumptions'!$L$92</f>
        <v>563.75</v>
      </c>
      <c r="O24" s="220">
        <f>O23*'Inputs &amp; Assumptions'!$L$92</f>
        <v>563.75</v>
      </c>
      <c r="P24" s="220">
        <f>P23*'Inputs &amp; Assumptions'!$L$92</f>
        <v>563.75</v>
      </c>
      <c r="Q24" s="220">
        <f>Q23*'Inputs &amp; Assumptions'!$L$92</f>
        <v>563.75</v>
      </c>
      <c r="R24" s="220">
        <f>R23*'Inputs &amp; Assumptions'!$L$92</f>
        <v>563.75</v>
      </c>
      <c r="S24" s="22">
        <f>S23*'Inputs &amp; Assumptions'!$L$92</f>
        <v>290.88338333333348</v>
      </c>
      <c r="T24" s="22">
        <f>T23*'Inputs &amp; Assumptions'!$L$92</f>
        <v>0</v>
      </c>
      <c r="U24" s="22">
        <f>U23*'Inputs &amp; Assumptions'!$L$92</f>
        <v>0</v>
      </c>
      <c r="V24" s="22">
        <f>V23*'Inputs &amp; Assumptions'!$L$92</f>
        <v>0</v>
      </c>
      <c r="W24" s="22">
        <f>W23*'Inputs &amp; Assumptions'!$L$92</f>
        <v>0</v>
      </c>
      <c r="X24" s="22">
        <f>X23*'Inputs &amp; Assumptions'!$L$92</f>
        <v>0</v>
      </c>
      <c r="Y24" s="22">
        <f>Y23*'Inputs &amp; Assumptions'!$L$92</f>
        <v>0</v>
      </c>
      <c r="Z24" s="22">
        <f>Z23*'Inputs &amp; Assumptions'!$L$92</f>
        <v>0</v>
      </c>
      <c r="AA24" s="22">
        <f>AA23*'Inputs &amp; Assumptions'!$L$92</f>
        <v>0</v>
      </c>
      <c r="AB24" s="22">
        <f>AB23*'Inputs &amp; Assumptions'!$L$92</f>
        <v>0</v>
      </c>
      <c r="AC24" s="22">
        <f>AC23*'Inputs &amp; Assumptions'!$L$92</f>
        <v>0</v>
      </c>
      <c r="AD24" s="22">
        <f>AD23*'Inputs &amp; Assumptions'!$L$92</f>
        <v>0</v>
      </c>
      <c r="AE24" s="22">
        <f>AE23*'Inputs &amp; Assumptions'!$L$92</f>
        <v>0</v>
      </c>
      <c r="AF24" s="22">
        <f>AF23*'Inputs &amp; Assumptions'!$L$92</f>
        <v>0</v>
      </c>
      <c r="AG24" s="22">
        <f>AG23*'Inputs &amp; Assumptions'!$L$92</f>
        <v>0</v>
      </c>
      <c r="AH24" s="22">
        <f>AH23*'Inputs &amp; Assumptions'!$L$92</f>
        <v>0</v>
      </c>
      <c r="AI24" s="22">
        <f>AI23*'Inputs &amp; Assumptions'!$L$92</f>
        <v>0</v>
      </c>
      <c r="AJ24" s="22">
        <f>AJ23*'Inputs &amp; Assumptions'!$L$92</f>
        <v>0</v>
      </c>
      <c r="AK24" s="22">
        <f>AK23*'Inputs &amp; Assumptions'!$L$92</f>
        <v>0</v>
      </c>
      <c r="AL24" s="22">
        <f>AL23*'Inputs &amp; Assumptions'!$L$92</f>
        <v>0</v>
      </c>
      <c r="AM24" s="22">
        <f>AM23*'Inputs &amp; Assumptions'!$L$92</f>
        <v>0</v>
      </c>
      <c r="AN24" s="22">
        <f>AN23*'Inputs &amp; Assumptions'!$L$92</f>
        <v>0</v>
      </c>
      <c r="AO24" s="22">
        <f>AO23*'Inputs &amp; Assumptions'!$L$92</f>
        <v>0</v>
      </c>
      <c r="AP24" s="220">
        <f>SUM(L24:S24)</f>
        <v>4237.1333833333338</v>
      </c>
    </row>
    <row r="27" spans="2:51">
      <c r="G27" s="22" t="s">
        <v>300</v>
      </c>
      <c r="K27" s="226" t="s">
        <v>290</v>
      </c>
      <c r="L27" s="225">
        <f t="shared" ref="L27:L58" ca="1" si="1">IF($K28&lt;L$22,0,AVERAGE(OFFSET($I$16,,$K28-L$22+3)*L$23,OFFSET($I$16,0,$K28-L$22+2)*L$23))</f>
        <v>51562.499999999993</v>
      </c>
      <c r="M27" s="225">
        <f t="shared" ref="M27:M58" ca="1" si="2">IF($K28&lt;M$22,0,AVERAGE(OFFSET($I$16,,$K28-M$22+3)*M$23,OFFSET($I$16,0,$K28-M$22+2)*M$23))</f>
        <v>0</v>
      </c>
      <c r="N27" s="225">
        <f t="shared" ref="N27:N58" ca="1" si="3">IF($K28&lt;N$22,0,AVERAGE(OFFSET($I$16,,$K28-N$22+3)*N$23,OFFSET($I$16,0,$K28-N$22+2)*N$23))</f>
        <v>0</v>
      </c>
      <c r="O27" s="225">
        <f t="shared" ref="O27:O58" ca="1" si="4">IF($K28&lt;O$22,0,AVERAGE(OFFSET($I$16,,$K28-O$22+3)*O$23,OFFSET($I$16,0,$K28-O$22+2)*O$23))</f>
        <v>0</v>
      </c>
      <c r="P27" s="225">
        <f t="shared" ref="P27:P58" ca="1" si="5">IF($K28&lt;P$22,0,AVERAGE(OFFSET($I$16,,$K28-P$22+3)*P$23,OFFSET($I$16,0,$K28-P$22+2)*P$23))</f>
        <v>0</v>
      </c>
      <c r="Q27" s="225">
        <f t="shared" ref="Q27:Q58" ca="1" si="6">IF($K28&lt;Q$22,0,AVERAGE(OFFSET($I$16,,$K28-Q$22+3)*Q$23,OFFSET($I$16,0,$K28-Q$22+2)*Q$23))</f>
        <v>0</v>
      </c>
      <c r="R27" s="225">
        <f t="shared" ref="R27:R58" ca="1" si="7">IF($K28&lt;R$22,0,AVERAGE(OFFSET($I$16,,$K28-R$22+3)*R$23,OFFSET($I$16,0,$K28-R$22+2)*R$23))</f>
        <v>0</v>
      </c>
      <c r="S27" s="225">
        <f t="shared" ref="S27:S58" ca="1" si="8">IF($K28&lt;S$22,0,AVERAGE(OFFSET($I$16,,$K28-S$22+3)*S$23,OFFSET($I$16,0,$K28-S$22+2)*S$23))</f>
        <v>0</v>
      </c>
      <c r="T27" s="225">
        <f t="shared" ref="T27:T58" ca="1" si="9">IF($K28&lt;T$22,0,AVERAGE(OFFSET($I$16,,$K28-T$22+3)*T$23,OFFSET($I$16,0,$K28-T$22+2)*T$23))</f>
        <v>0</v>
      </c>
      <c r="U27" s="225">
        <f t="shared" ref="U27:U58" ca="1" si="10">IF($K28&lt;U$22,0,AVERAGE(OFFSET($I$16,,$K28-U$22+3)*U$23,OFFSET($I$16,0,$K28-U$22+2)*U$23))</f>
        <v>0</v>
      </c>
      <c r="V27" s="225">
        <f t="shared" ref="V27:V58" ca="1" si="11">IF($K28&lt;V$22,0,AVERAGE(OFFSET($I$16,,$K28-V$22+3)*V$23,OFFSET($I$16,0,$K28-V$22+2)*V$23))</f>
        <v>0</v>
      </c>
      <c r="W27" s="225">
        <f t="shared" ref="W27:W58" ca="1" si="12">IF($K28&lt;W$22,0,AVERAGE(OFFSET($I$16,,$K28-W$22+3)*W$23,OFFSET($I$16,0,$K28-W$22+2)*W$23))</f>
        <v>0</v>
      </c>
      <c r="X27" s="225">
        <f t="shared" ref="X27:X58" ca="1" si="13">IF($K28&lt;X$22,0,AVERAGE(OFFSET($I$16,,$K28-X$22+3)*X$23,OFFSET($I$16,0,$K28-X$22+2)*X$23))</f>
        <v>0</v>
      </c>
      <c r="Y27" s="225">
        <f t="shared" ref="Y27:Y58" ca="1" si="14">IF($K28&lt;Y$22,0,AVERAGE(OFFSET($I$16,,$K28-Y$22+3)*Y$23,OFFSET($I$16,0,$K28-Y$22+2)*Y$23))</f>
        <v>0</v>
      </c>
      <c r="Z27" s="225">
        <f t="shared" ref="Z27:Z58" ca="1" si="15">IF($K28&lt;Z$22,0,AVERAGE(OFFSET($I$16,,$K28-Z$22+3)*Z$23,OFFSET($I$16,0,$K28-Z$22+2)*Z$23))</f>
        <v>0</v>
      </c>
      <c r="AA27" s="225">
        <f t="shared" ref="AA27:AA58" ca="1" si="16">IF($K28&lt;AA$22,0,AVERAGE(OFFSET($I$16,,$K28-AA$22+3)*AA$23,OFFSET($I$16,0,$K28-AA$22+2)*AA$23))</f>
        <v>0</v>
      </c>
      <c r="AB27" s="225">
        <f t="shared" ref="AB27:AB58" ca="1" si="17">IF($K28&lt;AB$22,0,AVERAGE(OFFSET($I$16,,$K28-AB$22+3)*AB$23,OFFSET($I$16,0,$K28-AB$22+2)*AB$23))</f>
        <v>0</v>
      </c>
      <c r="AC27" s="225">
        <f t="shared" ref="AC27:AC58" ca="1" si="18">IF($K28&lt;AC$22,0,AVERAGE(OFFSET($I$16,,$K28-AC$22+3)*AC$23,OFFSET($I$16,0,$K28-AC$22+2)*AC$23))</f>
        <v>0</v>
      </c>
      <c r="AD27" s="225">
        <f t="shared" ref="AD27:AD58" ca="1" si="19">IF($K28&lt;AD$22,0,AVERAGE(OFFSET($I$16,,$K28-AD$22+3)*AD$23,OFFSET($I$16,0,$K28-AD$22+2)*AD$23))</f>
        <v>0</v>
      </c>
      <c r="AE27" s="225">
        <f t="shared" ref="AE27:AE58" ca="1" si="20">IF($K28&lt;AE$22,0,AVERAGE(OFFSET($I$16,,$K28-AE$22+3)*AE$23,OFFSET($I$16,0,$K28-AE$22+2)*AE$23))</f>
        <v>0</v>
      </c>
      <c r="AF27" s="225">
        <f t="shared" ref="AF27:AF58" ca="1" si="21">IF($K28&lt;AF$22,0,AVERAGE(OFFSET($I$16,,$K28-AF$22+3)*AF$23,OFFSET($I$16,0,$K28-AF$22+2)*AF$23))</f>
        <v>0</v>
      </c>
      <c r="AG27" s="225">
        <f t="shared" ref="AG27:AG58" ca="1" si="22">IF($K28&lt;AG$22,0,AVERAGE(OFFSET($I$16,,$K28-AG$22+3)*AG$23,OFFSET($I$16,0,$K28-AG$22+2)*AG$23))</f>
        <v>0</v>
      </c>
      <c r="AH27" s="225">
        <f t="shared" ref="AH27:AH58" ca="1" si="23">IF($K28&lt;AH$22,0,AVERAGE(OFFSET($I$16,,$K28-AH$22+3)*AH$23,OFFSET($I$16,0,$K28-AH$22+2)*AH$23))</f>
        <v>0</v>
      </c>
      <c r="AI27" s="225">
        <f t="shared" ref="AI27:AI58" ca="1" si="24">IF($K28&lt;AI$22,0,AVERAGE(OFFSET($I$16,,$K28-AI$22+3)*AI$23,OFFSET($I$16,0,$K28-AI$22+2)*AI$23))</f>
        <v>0</v>
      </c>
      <c r="AJ27" s="225">
        <f t="shared" ref="AJ27:AJ58" ca="1" si="25">IF($K28&lt;AJ$22,0,AVERAGE(OFFSET($I$16,,$K28-AJ$22+3)*AJ$23,OFFSET($I$16,0,$K28-AJ$22+2)*AJ$23))</f>
        <v>0</v>
      </c>
      <c r="AK27" s="225">
        <f t="shared" ref="AK27:AK58" ca="1" si="26">IF($K28&lt;AK$22,0,AVERAGE(OFFSET($I$16,,$K28-AK$22+3)*AK$23,OFFSET($I$16,0,$K28-AK$22+2)*AK$23))</f>
        <v>0</v>
      </c>
      <c r="AL27" s="225">
        <f t="shared" ref="AL27:AL58" ca="1" si="27">IF($K28&lt;AL$22,0,AVERAGE(OFFSET($I$16,,$K28-AL$22+3)*AL$23,OFFSET($I$16,0,$K28-AL$22+2)*AL$23))</f>
        <v>0</v>
      </c>
      <c r="AM27" s="225">
        <f t="shared" ref="AM27:AM58" ca="1" si="28">IF($K28&lt;AM$22,0,AVERAGE(OFFSET($I$16,,$K28-AM$22+3)*AM$23,OFFSET($I$16,0,$K28-AM$22+2)*AM$23))</f>
        <v>0</v>
      </c>
      <c r="AN27" s="225">
        <f t="shared" ref="AN27:AN58" ca="1" si="29">IF($K28&lt;AN$22,0,AVERAGE(OFFSET($I$16,,$K28-AN$22+3)*AN$23,OFFSET($I$16,0,$K28-AN$22+2)*AN$23))</f>
        <v>0</v>
      </c>
      <c r="AO27" s="225">
        <f t="shared" ref="AO27:AO58" ca="1" si="30">IF($K28&lt;AO$22,0,AVERAGE(OFFSET($I$16,,$K28-AO$22+3)*AO$23,OFFSET($I$16,0,$K28-AO$22+2)*AO$23))</f>
        <v>0</v>
      </c>
      <c r="AP27" s="225">
        <f ca="1">SUM(L27:AI27)</f>
        <v>51562.499999999993</v>
      </c>
    </row>
    <row r="28" spans="2:51">
      <c r="K28" s="22">
        <v>1</v>
      </c>
      <c r="L28" s="225">
        <f t="shared" ca="1" si="1"/>
        <v>84562.499999999985</v>
      </c>
      <c r="M28" s="225">
        <f t="shared" ca="1" si="2"/>
        <v>51562.499999999993</v>
      </c>
      <c r="N28" s="225">
        <f t="shared" ca="1" si="3"/>
        <v>0</v>
      </c>
      <c r="O28" s="225">
        <f t="shared" ca="1" si="4"/>
        <v>0</v>
      </c>
      <c r="P28" s="225">
        <f t="shared" ca="1" si="5"/>
        <v>0</v>
      </c>
      <c r="Q28" s="225">
        <f t="shared" ca="1" si="6"/>
        <v>0</v>
      </c>
      <c r="R28" s="225">
        <f t="shared" ca="1" si="7"/>
        <v>0</v>
      </c>
      <c r="S28" s="225">
        <f t="shared" ca="1" si="8"/>
        <v>0</v>
      </c>
      <c r="T28" s="225">
        <f t="shared" ca="1" si="9"/>
        <v>0</v>
      </c>
      <c r="U28" s="225">
        <f t="shared" ca="1" si="10"/>
        <v>0</v>
      </c>
      <c r="V28" s="225">
        <f t="shared" ca="1" si="11"/>
        <v>0</v>
      </c>
      <c r="W28" s="225">
        <f t="shared" ca="1" si="12"/>
        <v>0</v>
      </c>
      <c r="X28" s="225">
        <f t="shared" ca="1" si="13"/>
        <v>0</v>
      </c>
      <c r="Y28" s="225">
        <f t="shared" ca="1" si="14"/>
        <v>0</v>
      </c>
      <c r="Z28" s="225">
        <f t="shared" ca="1" si="15"/>
        <v>0</v>
      </c>
      <c r="AA28" s="225">
        <f t="shared" ca="1" si="16"/>
        <v>0</v>
      </c>
      <c r="AB28" s="225">
        <f t="shared" ca="1" si="17"/>
        <v>0</v>
      </c>
      <c r="AC28" s="225">
        <f t="shared" ca="1" si="18"/>
        <v>0</v>
      </c>
      <c r="AD28" s="225">
        <f t="shared" ca="1" si="19"/>
        <v>0</v>
      </c>
      <c r="AE28" s="225">
        <f t="shared" ca="1" si="20"/>
        <v>0</v>
      </c>
      <c r="AF28" s="225">
        <f t="shared" ca="1" si="21"/>
        <v>0</v>
      </c>
      <c r="AG28" s="225">
        <f t="shared" ca="1" si="22"/>
        <v>0</v>
      </c>
      <c r="AH28" s="225">
        <f t="shared" ca="1" si="23"/>
        <v>0</v>
      </c>
      <c r="AI28" s="225">
        <f t="shared" ca="1" si="24"/>
        <v>0</v>
      </c>
      <c r="AJ28" s="225">
        <f t="shared" ca="1" si="25"/>
        <v>0</v>
      </c>
      <c r="AK28" s="225">
        <f t="shared" ca="1" si="26"/>
        <v>0</v>
      </c>
      <c r="AL28" s="225">
        <f t="shared" ca="1" si="27"/>
        <v>0</v>
      </c>
      <c r="AM28" s="225">
        <f t="shared" ca="1" si="28"/>
        <v>0</v>
      </c>
      <c r="AN28" s="225">
        <f t="shared" ca="1" si="29"/>
        <v>0</v>
      </c>
      <c r="AO28" s="225">
        <f t="shared" ca="1" si="30"/>
        <v>0</v>
      </c>
      <c r="AP28" s="225">
        <f t="shared" ref="AP28:AP65" ca="1" si="31">SUM(L28:AI28)</f>
        <v>136124.99999999997</v>
      </c>
    </row>
    <row r="29" spans="2:51">
      <c r="K29" s="22">
        <v>2</v>
      </c>
      <c r="L29" s="225">
        <f t="shared" ca="1" si="1"/>
        <v>60719.999999999985</v>
      </c>
      <c r="M29" s="225">
        <f t="shared" ca="1" si="2"/>
        <v>84562.499999999985</v>
      </c>
      <c r="N29" s="225">
        <f t="shared" ca="1" si="3"/>
        <v>51562.499999999993</v>
      </c>
      <c r="O29" s="225">
        <f t="shared" ca="1" si="4"/>
        <v>0</v>
      </c>
      <c r="P29" s="225">
        <f t="shared" ca="1" si="5"/>
        <v>0</v>
      </c>
      <c r="Q29" s="225">
        <f t="shared" ca="1" si="6"/>
        <v>0</v>
      </c>
      <c r="R29" s="225">
        <f t="shared" ca="1" si="7"/>
        <v>0</v>
      </c>
      <c r="S29" s="225">
        <f t="shared" ca="1" si="8"/>
        <v>0</v>
      </c>
      <c r="T29" s="225">
        <f t="shared" ca="1" si="9"/>
        <v>0</v>
      </c>
      <c r="U29" s="225">
        <f t="shared" ca="1" si="10"/>
        <v>0</v>
      </c>
      <c r="V29" s="225">
        <f t="shared" ca="1" si="11"/>
        <v>0</v>
      </c>
      <c r="W29" s="225">
        <f t="shared" ca="1" si="12"/>
        <v>0</v>
      </c>
      <c r="X29" s="225">
        <f t="shared" ca="1" si="13"/>
        <v>0</v>
      </c>
      <c r="Y29" s="225">
        <f t="shared" ca="1" si="14"/>
        <v>0</v>
      </c>
      <c r="Z29" s="225">
        <f t="shared" ca="1" si="15"/>
        <v>0</v>
      </c>
      <c r="AA29" s="225">
        <f t="shared" ca="1" si="16"/>
        <v>0</v>
      </c>
      <c r="AB29" s="225">
        <f t="shared" ca="1" si="17"/>
        <v>0</v>
      </c>
      <c r="AC29" s="225">
        <f t="shared" ca="1" si="18"/>
        <v>0</v>
      </c>
      <c r="AD29" s="225">
        <f t="shared" ca="1" si="19"/>
        <v>0</v>
      </c>
      <c r="AE29" s="225">
        <f t="shared" ca="1" si="20"/>
        <v>0</v>
      </c>
      <c r="AF29" s="225">
        <f t="shared" ca="1" si="21"/>
        <v>0</v>
      </c>
      <c r="AG29" s="225">
        <f t="shared" ca="1" si="22"/>
        <v>0</v>
      </c>
      <c r="AH29" s="225">
        <f t="shared" ca="1" si="23"/>
        <v>0</v>
      </c>
      <c r="AI29" s="225">
        <f t="shared" ca="1" si="24"/>
        <v>0</v>
      </c>
      <c r="AJ29" s="225">
        <f t="shared" ca="1" si="25"/>
        <v>0</v>
      </c>
      <c r="AK29" s="225">
        <f t="shared" ca="1" si="26"/>
        <v>0</v>
      </c>
      <c r="AL29" s="225">
        <f t="shared" ca="1" si="27"/>
        <v>0</v>
      </c>
      <c r="AM29" s="225">
        <f t="shared" ca="1" si="28"/>
        <v>0</v>
      </c>
      <c r="AN29" s="225">
        <f t="shared" ca="1" si="29"/>
        <v>0</v>
      </c>
      <c r="AO29" s="225">
        <f t="shared" ca="1" si="30"/>
        <v>0</v>
      </c>
      <c r="AP29" s="225">
        <f t="shared" ca="1" si="31"/>
        <v>196844.99999999997</v>
      </c>
    </row>
    <row r="30" spans="2:51">
      <c r="K30" s="22">
        <v>3</v>
      </c>
      <c r="L30" s="225">
        <f t="shared" ca="1" si="1"/>
        <v>51836.399999999987</v>
      </c>
      <c r="M30" s="225">
        <f t="shared" ca="1" si="2"/>
        <v>60719.999999999985</v>
      </c>
      <c r="N30" s="225">
        <f t="shared" ca="1" si="3"/>
        <v>84562.499999999985</v>
      </c>
      <c r="O30" s="225">
        <f t="shared" ca="1" si="4"/>
        <v>51562.499999999993</v>
      </c>
      <c r="P30" s="225">
        <f t="shared" ca="1" si="5"/>
        <v>0</v>
      </c>
      <c r="Q30" s="225">
        <f t="shared" ca="1" si="6"/>
        <v>0</v>
      </c>
      <c r="R30" s="225">
        <f t="shared" ca="1" si="7"/>
        <v>0</v>
      </c>
      <c r="S30" s="225">
        <f t="shared" ca="1" si="8"/>
        <v>0</v>
      </c>
      <c r="T30" s="225">
        <f t="shared" ca="1" si="9"/>
        <v>0</v>
      </c>
      <c r="U30" s="225">
        <f t="shared" ca="1" si="10"/>
        <v>0</v>
      </c>
      <c r="V30" s="225">
        <f t="shared" ca="1" si="11"/>
        <v>0</v>
      </c>
      <c r="W30" s="225">
        <f t="shared" ca="1" si="12"/>
        <v>0</v>
      </c>
      <c r="X30" s="225">
        <f t="shared" ca="1" si="13"/>
        <v>0</v>
      </c>
      <c r="Y30" s="225">
        <f t="shared" ca="1" si="14"/>
        <v>0</v>
      </c>
      <c r="Z30" s="225">
        <f t="shared" ca="1" si="15"/>
        <v>0</v>
      </c>
      <c r="AA30" s="225">
        <f t="shared" ca="1" si="16"/>
        <v>0</v>
      </c>
      <c r="AB30" s="225">
        <f t="shared" ca="1" si="17"/>
        <v>0</v>
      </c>
      <c r="AC30" s="225">
        <f t="shared" ca="1" si="18"/>
        <v>0</v>
      </c>
      <c r="AD30" s="225">
        <f t="shared" ca="1" si="19"/>
        <v>0</v>
      </c>
      <c r="AE30" s="225">
        <f t="shared" ca="1" si="20"/>
        <v>0</v>
      </c>
      <c r="AF30" s="225">
        <f t="shared" ca="1" si="21"/>
        <v>0</v>
      </c>
      <c r="AG30" s="225">
        <f t="shared" ca="1" si="22"/>
        <v>0</v>
      </c>
      <c r="AH30" s="225">
        <f t="shared" ca="1" si="23"/>
        <v>0</v>
      </c>
      <c r="AI30" s="225">
        <f t="shared" ca="1" si="24"/>
        <v>0</v>
      </c>
      <c r="AJ30" s="225">
        <f t="shared" ca="1" si="25"/>
        <v>0</v>
      </c>
      <c r="AK30" s="225">
        <f t="shared" ca="1" si="26"/>
        <v>0</v>
      </c>
      <c r="AL30" s="225">
        <f t="shared" ca="1" si="27"/>
        <v>0</v>
      </c>
      <c r="AM30" s="225">
        <f t="shared" ca="1" si="28"/>
        <v>0</v>
      </c>
      <c r="AN30" s="225">
        <f t="shared" ca="1" si="29"/>
        <v>0</v>
      </c>
      <c r="AO30" s="225">
        <f t="shared" ca="1" si="30"/>
        <v>0</v>
      </c>
      <c r="AP30" s="225">
        <f t="shared" ca="1" si="31"/>
        <v>248681.39999999997</v>
      </c>
    </row>
    <row r="31" spans="2:51">
      <c r="K31" s="22">
        <v>4</v>
      </c>
      <c r="L31" s="225">
        <f t="shared" ca="1" si="1"/>
        <v>45821.159999999989</v>
      </c>
      <c r="M31" s="225">
        <f t="shared" ca="1" si="2"/>
        <v>51836.399999999987</v>
      </c>
      <c r="N31" s="225">
        <f t="shared" ca="1" si="3"/>
        <v>60719.999999999985</v>
      </c>
      <c r="O31" s="225">
        <f t="shared" ca="1" si="4"/>
        <v>84562.499999999985</v>
      </c>
      <c r="P31" s="225">
        <f t="shared" ca="1" si="5"/>
        <v>51562.499999999993</v>
      </c>
      <c r="Q31" s="225">
        <f t="shared" ca="1" si="6"/>
        <v>0</v>
      </c>
      <c r="R31" s="225">
        <f t="shared" ca="1" si="7"/>
        <v>0</v>
      </c>
      <c r="S31" s="225">
        <f t="shared" ca="1" si="8"/>
        <v>0</v>
      </c>
      <c r="T31" s="225">
        <f t="shared" ca="1" si="9"/>
        <v>0</v>
      </c>
      <c r="U31" s="225">
        <f t="shared" ca="1" si="10"/>
        <v>0</v>
      </c>
      <c r="V31" s="225">
        <f t="shared" ca="1" si="11"/>
        <v>0</v>
      </c>
      <c r="W31" s="225">
        <f t="shared" ca="1" si="12"/>
        <v>0</v>
      </c>
      <c r="X31" s="225">
        <f t="shared" ca="1" si="13"/>
        <v>0</v>
      </c>
      <c r="Y31" s="225">
        <f t="shared" ca="1" si="14"/>
        <v>0</v>
      </c>
      <c r="Z31" s="225">
        <f t="shared" ca="1" si="15"/>
        <v>0</v>
      </c>
      <c r="AA31" s="225">
        <f t="shared" ca="1" si="16"/>
        <v>0</v>
      </c>
      <c r="AB31" s="225">
        <f t="shared" ca="1" si="17"/>
        <v>0</v>
      </c>
      <c r="AC31" s="225">
        <f t="shared" ca="1" si="18"/>
        <v>0</v>
      </c>
      <c r="AD31" s="225">
        <f t="shared" ca="1" si="19"/>
        <v>0</v>
      </c>
      <c r="AE31" s="225">
        <f t="shared" ca="1" si="20"/>
        <v>0</v>
      </c>
      <c r="AF31" s="225">
        <f t="shared" ca="1" si="21"/>
        <v>0</v>
      </c>
      <c r="AG31" s="225">
        <f t="shared" ca="1" si="22"/>
        <v>0</v>
      </c>
      <c r="AH31" s="225">
        <f t="shared" ca="1" si="23"/>
        <v>0</v>
      </c>
      <c r="AI31" s="225">
        <f t="shared" ca="1" si="24"/>
        <v>0</v>
      </c>
      <c r="AJ31" s="225">
        <f t="shared" ca="1" si="25"/>
        <v>0</v>
      </c>
      <c r="AK31" s="225">
        <f t="shared" ca="1" si="26"/>
        <v>0</v>
      </c>
      <c r="AL31" s="225">
        <f t="shared" ca="1" si="27"/>
        <v>0</v>
      </c>
      <c r="AM31" s="225">
        <f t="shared" ca="1" si="28"/>
        <v>0</v>
      </c>
      <c r="AN31" s="225">
        <f t="shared" ca="1" si="29"/>
        <v>0</v>
      </c>
      <c r="AO31" s="225">
        <f t="shared" ca="1" si="30"/>
        <v>0</v>
      </c>
      <c r="AP31" s="225">
        <f t="shared" ca="1" si="31"/>
        <v>294502.55999999994</v>
      </c>
    </row>
    <row r="32" spans="2:51">
      <c r="K32" s="22">
        <v>5</v>
      </c>
      <c r="L32" s="225">
        <f t="shared" ca="1" si="1"/>
        <v>41239.043999999994</v>
      </c>
      <c r="M32" s="225">
        <f t="shared" ca="1" si="2"/>
        <v>45821.159999999989</v>
      </c>
      <c r="N32" s="225">
        <f t="shared" ca="1" si="3"/>
        <v>51836.399999999987</v>
      </c>
      <c r="O32" s="225">
        <f t="shared" ca="1" si="4"/>
        <v>60719.999999999985</v>
      </c>
      <c r="P32" s="225">
        <f t="shared" ca="1" si="5"/>
        <v>84562.499999999985</v>
      </c>
      <c r="Q32" s="225">
        <f t="shared" ca="1" si="6"/>
        <v>51562.499999999993</v>
      </c>
      <c r="R32" s="225">
        <f t="shared" ca="1" si="7"/>
        <v>0</v>
      </c>
      <c r="S32" s="225">
        <f t="shared" ca="1" si="8"/>
        <v>0</v>
      </c>
      <c r="T32" s="225">
        <f t="shared" ca="1" si="9"/>
        <v>0</v>
      </c>
      <c r="U32" s="225">
        <f t="shared" ca="1" si="10"/>
        <v>0</v>
      </c>
      <c r="V32" s="225">
        <f t="shared" ca="1" si="11"/>
        <v>0</v>
      </c>
      <c r="W32" s="225">
        <f t="shared" ca="1" si="12"/>
        <v>0</v>
      </c>
      <c r="X32" s="225">
        <f t="shared" ca="1" si="13"/>
        <v>0</v>
      </c>
      <c r="Y32" s="225">
        <f t="shared" ca="1" si="14"/>
        <v>0</v>
      </c>
      <c r="Z32" s="225">
        <f t="shared" ca="1" si="15"/>
        <v>0</v>
      </c>
      <c r="AA32" s="225">
        <f t="shared" ca="1" si="16"/>
        <v>0</v>
      </c>
      <c r="AB32" s="225">
        <f t="shared" ca="1" si="17"/>
        <v>0</v>
      </c>
      <c r="AC32" s="225">
        <f t="shared" ca="1" si="18"/>
        <v>0</v>
      </c>
      <c r="AD32" s="225">
        <f t="shared" ca="1" si="19"/>
        <v>0</v>
      </c>
      <c r="AE32" s="225">
        <f t="shared" ca="1" si="20"/>
        <v>0</v>
      </c>
      <c r="AF32" s="225">
        <f t="shared" ca="1" si="21"/>
        <v>0</v>
      </c>
      <c r="AG32" s="225">
        <f t="shared" ca="1" si="22"/>
        <v>0</v>
      </c>
      <c r="AH32" s="225">
        <f t="shared" ca="1" si="23"/>
        <v>0</v>
      </c>
      <c r="AI32" s="225">
        <f t="shared" ca="1" si="24"/>
        <v>0</v>
      </c>
      <c r="AJ32" s="225">
        <f t="shared" ca="1" si="25"/>
        <v>0</v>
      </c>
      <c r="AK32" s="225">
        <f t="shared" ca="1" si="26"/>
        <v>0</v>
      </c>
      <c r="AL32" s="225">
        <f t="shared" ca="1" si="27"/>
        <v>0</v>
      </c>
      <c r="AM32" s="225">
        <f t="shared" ca="1" si="28"/>
        <v>0</v>
      </c>
      <c r="AN32" s="225">
        <f t="shared" ca="1" si="29"/>
        <v>0</v>
      </c>
      <c r="AO32" s="225">
        <f t="shared" ca="1" si="30"/>
        <v>0</v>
      </c>
      <c r="AP32" s="225">
        <f t="shared" ca="1" si="31"/>
        <v>335741.60399999993</v>
      </c>
    </row>
    <row r="33" spans="11:42">
      <c r="K33" s="22">
        <v>6</v>
      </c>
      <c r="L33" s="225">
        <f t="shared" ca="1" si="1"/>
        <v>37310.48244</v>
      </c>
      <c r="M33" s="225">
        <f t="shared" ca="1" si="2"/>
        <v>41239.043999999994</v>
      </c>
      <c r="N33" s="225">
        <f t="shared" ca="1" si="3"/>
        <v>45821.159999999989</v>
      </c>
      <c r="O33" s="225">
        <f t="shared" ca="1" si="4"/>
        <v>51836.399999999987</v>
      </c>
      <c r="P33" s="225">
        <f t="shared" ca="1" si="5"/>
        <v>60719.999999999985</v>
      </c>
      <c r="Q33" s="225">
        <f t="shared" ca="1" si="6"/>
        <v>84562.499999999985</v>
      </c>
      <c r="R33" s="225">
        <f t="shared" ca="1" si="7"/>
        <v>51562.499999999993</v>
      </c>
      <c r="S33" s="225">
        <f t="shared" ca="1" si="8"/>
        <v>0</v>
      </c>
      <c r="T33" s="225">
        <f t="shared" ca="1" si="9"/>
        <v>0</v>
      </c>
      <c r="U33" s="225">
        <f t="shared" ca="1" si="10"/>
        <v>0</v>
      </c>
      <c r="V33" s="225">
        <f t="shared" ca="1" si="11"/>
        <v>0</v>
      </c>
      <c r="W33" s="225">
        <f t="shared" ca="1" si="12"/>
        <v>0</v>
      </c>
      <c r="X33" s="225">
        <f t="shared" ca="1" si="13"/>
        <v>0</v>
      </c>
      <c r="Y33" s="225">
        <f t="shared" ca="1" si="14"/>
        <v>0</v>
      </c>
      <c r="Z33" s="225">
        <f t="shared" ca="1" si="15"/>
        <v>0</v>
      </c>
      <c r="AA33" s="225">
        <f t="shared" ca="1" si="16"/>
        <v>0</v>
      </c>
      <c r="AB33" s="225">
        <f t="shared" ca="1" si="17"/>
        <v>0</v>
      </c>
      <c r="AC33" s="225">
        <f t="shared" ca="1" si="18"/>
        <v>0</v>
      </c>
      <c r="AD33" s="225">
        <f t="shared" ca="1" si="19"/>
        <v>0</v>
      </c>
      <c r="AE33" s="225">
        <f t="shared" ca="1" si="20"/>
        <v>0</v>
      </c>
      <c r="AF33" s="225">
        <f t="shared" ca="1" si="21"/>
        <v>0</v>
      </c>
      <c r="AG33" s="225">
        <f t="shared" ca="1" si="22"/>
        <v>0</v>
      </c>
      <c r="AH33" s="225">
        <f t="shared" ca="1" si="23"/>
        <v>0</v>
      </c>
      <c r="AI33" s="225">
        <f t="shared" ca="1" si="24"/>
        <v>0</v>
      </c>
      <c r="AJ33" s="225">
        <f t="shared" ca="1" si="25"/>
        <v>0</v>
      </c>
      <c r="AK33" s="225">
        <f t="shared" ca="1" si="26"/>
        <v>0</v>
      </c>
      <c r="AL33" s="225">
        <f t="shared" ca="1" si="27"/>
        <v>0</v>
      </c>
      <c r="AM33" s="225">
        <f t="shared" ca="1" si="28"/>
        <v>0</v>
      </c>
      <c r="AN33" s="225">
        <f t="shared" ca="1" si="29"/>
        <v>0</v>
      </c>
      <c r="AO33" s="225">
        <f t="shared" ca="1" si="30"/>
        <v>0</v>
      </c>
      <c r="AP33" s="225">
        <f t="shared" ca="1" si="31"/>
        <v>373052.08643999993</v>
      </c>
    </row>
    <row r="34" spans="11:42">
      <c r="K34" s="22">
        <v>7</v>
      </c>
      <c r="L34" s="225">
        <f t="shared" ca="1" si="1"/>
        <v>34130.3010048</v>
      </c>
      <c r="M34" s="225">
        <f t="shared" ca="1" si="2"/>
        <v>37310.48244</v>
      </c>
      <c r="N34" s="225">
        <f t="shared" ca="1" si="3"/>
        <v>41239.043999999994</v>
      </c>
      <c r="O34" s="225">
        <f t="shared" ca="1" si="4"/>
        <v>45821.159999999989</v>
      </c>
      <c r="P34" s="225">
        <f t="shared" ca="1" si="5"/>
        <v>51836.399999999987</v>
      </c>
      <c r="Q34" s="225">
        <f t="shared" ca="1" si="6"/>
        <v>60719.999999999985</v>
      </c>
      <c r="R34" s="225">
        <f t="shared" ca="1" si="7"/>
        <v>84562.499999999985</v>
      </c>
      <c r="S34" s="225">
        <f t="shared" ca="1" si="8"/>
        <v>26605.187500000011</v>
      </c>
      <c r="T34" s="225">
        <f t="shared" ca="1" si="9"/>
        <v>0</v>
      </c>
      <c r="U34" s="225">
        <f t="shared" ca="1" si="10"/>
        <v>0</v>
      </c>
      <c r="V34" s="225">
        <f t="shared" ca="1" si="11"/>
        <v>0</v>
      </c>
      <c r="W34" s="225">
        <f t="shared" ca="1" si="12"/>
        <v>0</v>
      </c>
      <c r="X34" s="225">
        <f t="shared" ca="1" si="13"/>
        <v>0</v>
      </c>
      <c r="Y34" s="225">
        <f t="shared" ca="1" si="14"/>
        <v>0</v>
      </c>
      <c r="Z34" s="225">
        <f t="shared" ca="1" si="15"/>
        <v>0</v>
      </c>
      <c r="AA34" s="225">
        <f t="shared" ca="1" si="16"/>
        <v>0</v>
      </c>
      <c r="AB34" s="225">
        <f t="shared" ca="1" si="17"/>
        <v>0</v>
      </c>
      <c r="AC34" s="225">
        <f t="shared" ca="1" si="18"/>
        <v>0</v>
      </c>
      <c r="AD34" s="225">
        <f t="shared" ca="1" si="19"/>
        <v>0</v>
      </c>
      <c r="AE34" s="225">
        <f t="shared" ca="1" si="20"/>
        <v>0</v>
      </c>
      <c r="AF34" s="225">
        <f t="shared" ca="1" si="21"/>
        <v>0</v>
      </c>
      <c r="AG34" s="225">
        <f t="shared" ca="1" si="22"/>
        <v>0</v>
      </c>
      <c r="AH34" s="225">
        <f t="shared" ca="1" si="23"/>
        <v>0</v>
      </c>
      <c r="AI34" s="225">
        <f t="shared" ca="1" si="24"/>
        <v>0</v>
      </c>
      <c r="AJ34" s="225">
        <f t="shared" ca="1" si="25"/>
        <v>0</v>
      </c>
      <c r="AK34" s="225">
        <f t="shared" ca="1" si="26"/>
        <v>0</v>
      </c>
      <c r="AL34" s="225">
        <f t="shared" ca="1" si="27"/>
        <v>0</v>
      </c>
      <c r="AM34" s="225">
        <f t="shared" ca="1" si="28"/>
        <v>0</v>
      </c>
      <c r="AN34" s="225">
        <f t="shared" ca="1" si="29"/>
        <v>0</v>
      </c>
      <c r="AO34" s="225">
        <f t="shared" ca="1" si="30"/>
        <v>0</v>
      </c>
      <c r="AP34" s="225">
        <f t="shared" ca="1" si="31"/>
        <v>382225.07494479994</v>
      </c>
    </row>
    <row r="35" spans="11:42">
      <c r="K35" s="22">
        <v>8</v>
      </c>
      <c r="L35" s="225">
        <f t="shared" ca="1" si="1"/>
        <v>31563.417950063995</v>
      </c>
      <c r="M35" s="225">
        <f t="shared" ca="1" si="2"/>
        <v>34130.3010048</v>
      </c>
      <c r="N35" s="225">
        <f t="shared" ca="1" si="3"/>
        <v>37310.48244</v>
      </c>
      <c r="O35" s="225">
        <f t="shared" ca="1" si="4"/>
        <v>41239.043999999994</v>
      </c>
      <c r="P35" s="225">
        <f t="shared" ca="1" si="5"/>
        <v>45821.159999999989</v>
      </c>
      <c r="Q35" s="225">
        <f t="shared" ca="1" si="6"/>
        <v>51836.399999999987</v>
      </c>
      <c r="R35" s="225">
        <f t="shared" ca="1" si="7"/>
        <v>60719.999999999985</v>
      </c>
      <c r="S35" s="225">
        <f t="shared" ca="1" si="8"/>
        <v>43632.507500000022</v>
      </c>
      <c r="T35" s="225">
        <f t="shared" ca="1" si="9"/>
        <v>0</v>
      </c>
      <c r="U35" s="225">
        <f t="shared" ca="1" si="10"/>
        <v>0</v>
      </c>
      <c r="V35" s="225">
        <f t="shared" ca="1" si="11"/>
        <v>0</v>
      </c>
      <c r="W35" s="225">
        <f t="shared" ca="1" si="12"/>
        <v>0</v>
      </c>
      <c r="X35" s="225">
        <f t="shared" ca="1" si="13"/>
        <v>0</v>
      </c>
      <c r="Y35" s="225">
        <f t="shared" ca="1" si="14"/>
        <v>0</v>
      </c>
      <c r="Z35" s="225">
        <f t="shared" ca="1" si="15"/>
        <v>0</v>
      </c>
      <c r="AA35" s="225">
        <f t="shared" ca="1" si="16"/>
        <v>0</v>
      </c>
      <c r="AB35" s="225">
        <f t="shared" ca="1" si="17"/>
        <v>0</v>
      </c>
      <c r="AC35" s="225">
        <f t="shared" ca="1" si="18"/>
        <v>0</v>
      </c>
      <c r="AD35" s="225">
        <f t="shared" ca="1" si="19"/>
        <v>0</v>
      </c>
      <c r="AE35" s="225">
        <f t="shared" ca="1" si="20"/>
        <v>0</v>
      </c>
      <c r="AF35" s="225">
        <f t="shared" ca="1" si="21"/>
        <v>0</v>
      </c>
      <c r="AG35" s="225">
        <f t="shared" ca="1" si="22"/>
        <v>0</v>
      </c>
      <c r="AH35" s="225">
        <f t="shared" ca="1" si="23"/>
        <v>0</v>
      </c>
      <c r="AI35" s="225">
        <f t="shared" ca="1" si="24"/>
        <v>0</v>
      </c>
      <c r="AJ35" s="225">
        <f t="shared" ca="1" si="25"/>
        <v>0</v>
      </c>
      <c r="AK35" s="225">
        <f t="shared" ca="1" si="26"/>
        <v>0</v>
      </c>
      <c r="AL35" s="225">
        <f t="shared" ca="1" si="27"/>
        <v>0</v>
      </c>
      <c r="AM35" s="225">
        <f t="shared" ca="1" si="28"/>
        <v>0</v>
      </c>
      <c r="AN35" s="225">
        <f t="shared" ca="1" si="29"/>
        <v>0</v>
      </c>
      <c r="AO35" s="225">
        <f t="shared" ca="1" si="30"/>
        <v>0</v>
      </c>
      <c r="AP35" s="225">
        <f t="shared" ca="1" si="31"/>
        <v>346253.31289486395</v>
      </c>
    </row>
    <row r="36" spans="11:42">
      <c r="K36" s="22">
        <v>9</v>
      </c>
      <c r="L36" s="225">
        <f t="shared" ca="1" si="1"/>
        <v>29506.071847412157</v>
      </c>
      <c r="M36" s="225">
        <f t="shared" ca="1" si="2"/>
        <v>31563.417950063995</v>
      </c>
      <c r="N36" s="225">
        <f t="shared" ca="1" si="3"/>
        <v>34130.3010048</v>
      </c>
      <c r="O36" s="225">
        <f t="shared" ca="1" si="4"/>
        <v>37310.48244</v>
      </c>
      <c r="P36" s="225">
        <f t="shared" ca="1" si="5"/>
        <v>41239.043999999994</v>
      </c>
      <c r="Q36" s="225">
        <f t="shared" ca="1" si="6"/>
        <v>45821.159999999989</v>
      </c>
      <c r="R36" s="225">
        <f t="shared" ca="1" si="7"/>
        <v>51836.399999999987</v>
      </c>
      <c r="S36" s="225">
        <f t="shared" ca="1" si="8"/>
        <v>31330.268800000013</v>
      </c>
      <c r="T36" s="225">
        <f t="shared" ca="1" si="9"/>
        <v>0</v>
      </c>
      <c r="U36" s="225">
        <f t="shared" ca="1" si="10"/>
        <v>0</v>
      </c>
      <c r="V36" s="225">
        <f t="shared" ca="1" si="11"/>
        <v>0</v>
      </c>
      <c r="W36" s="225">
        <f t="shared" ca="1" si="12"/>
        <v>0</v>
      </c>
      <c r="X36" s="225">
        <f t="shared" ca="1" si="13"/>
        <v>0</v>
      </c>
      <c r="Y36" s="225">
        <f t="shared" ca="1" si="14"/>
        <v>0</v>
      </c>
      <c r="Z36" s="225">
        <f t="shared" ca="1" si="15"/>
        <v>0</v>
      </c>
      <c r="AA36" s="225">
        <f t="shared" ca="1" si="16"/>
        <v>0</v>
      </c>
      <c r="AB36" s="225">
        <f t="shared" ca="1" si="17"/>
        <v>0</v>
      </c>
      <c r="AC36" s="225">
        <f t="shared" ca="1" si="18"/>
        <v>0</v>
      </c>
      <c r="AD36" s="225">
        <f t="shared" ca="1" si="19"/>
        <v>0</v>
      </c>
      <c r="AE36" s="225">
        <f t="shared" ca="1" si="20"/>
        <v>0</v>
      </c>
      <c r="AF36" s="225">
        <f t="shared" ca="1" si="21"/>
        <v>0</v>
      </c>
      <c r="AG36" s="225">
        <f t="shared" ca="1" si="22"/>
        <v>0</v>
      </c>
      <c r="AH36" s="225">
        <f t="shared" ca="1" si="23"/>
        <v>0</v>
      </c>
      <c r="AI36" s="225">
        <f t="shared" ca="1" si="24"/>
        <v>0</v>
      </c>
      <c r="AJ36" s="225">
        <f t="shared" ca="1" si="25"/>
        <v>0</v>
      </c>
      <c r="AK36" s="225">
        <f t="shared" ca="1" si="26"/>
        <v>0</v>
      </c>
      <c r="AL36" s="225">
        <f t="shared" ca="1" si="27"/>
        <v>0</v>
      </c>
      <c r="AM36" s="225">
        <f t="shared" ca="1" si="28"/>
        <v>0</v>
      </c>
      <c r="AN36" s="225">
        <f t="shared" ca="1" si="29"/>
        <v>0</v>
      </c>
      <c r="AO36" s="225">
        <f t="shared" ca="1" si="30"/>
        <v>0</v>
      </c>
      <c r="AP36" s="225">
        <f t="shared" ca="1" si="31"/>
        <v>302737.14604227612</v>
      </c>
    </row>
    <row r="37" spans="11:42">
      <c r="K37" s="22">
        <v>10</v>
      </c>
      <c r="L37" s="225">
        <f t="shared" ca="1" si="1"/>
        <v>27878.675101188906</v>
      </c>
      <c r="M37" s="225">
        <f t="shared" ca="1" si="2"/>
        <v>29506.071847412157</v>
      </c>
      <c r="N37" s="225">
        <f t="shared" ca="1" si="3"/>
        <v>31563.417950063995</v>
      </c>
      <c r="O37" s="225">
        <f t="shared" ca="1" si="4"/>
        <v>34130.3010048</v>
      </c>
      <c r="P37" s="225">
        <f t="shared" ca="1" si="5"/>
        <v>37310.48244</v>
      </c>
      <c r="Q37" s="225">
        <f t="shared" ca="1" si="6"/>
        <v>41239.043999999994</v>
      </c>
      <c r="R37" s="225">
        <f t="shared" ca="1" si="7"/>
        <v>45821.159999999989</v>
      </c>
      <c r="S37" s="225">
        <f t="shared" ca="1" si="8"/>
        <v>26746.514256000009</v>
      </c>
      <c r="T37" s="225">
        <f t="shared" ca="1" si="9"/>
        <v>0</v>
      </c>
      <c r="U37" s="225">
        <f t="shared" ca="1" si="10"/>
        <v>0</v>
      </c>
      <c r="V37" s="225">
        <f t="shared" ca="1" si="11"/>
        <v>0</v>
      </c>
      <c r="W37" s="225">
        <f t="shared" ca="1" si="12"/>
        <v>0</v>
      </c>
      <c r="X37" s="225">
        <f t="shared" ca="1" si="13"/>
        <v>0</v>
      </c>
      <c r="Y37" s="225">
        <f t="shared" ca="1" si="14"/>
        <v>0</v>
      </c>
      <c r="Z37" s="225">
        <f t="shared" ca="1" si="15"/>
        <v>0</v>
      </c>
      <c r="AA37" s="225">
        <f t="shared" ca="1" si="16"/>
        <v>0</v>
      </c>
      <c r="AB37" s="225">
        <f t="shared" ca="1" si="17"/>
        <v>0</v>
      </c>
      <c r="AC37" s="225">
        <f t="shared" ca="1" si="18"/>
        <v>0</v>
      </c>
      <c r="AD37" s="225">
        <f t="shared" ca="1" si="19"/>
        <v>0</v>
      </c>
      <c r="AE37" s="225">
        <f t="shared" ca="1" si="20"/>
        <v>0</v>
      </c>
      <c r="AF37" s="225">
        <f t="shared" ca="1" si="21"/>
        <v>0</v>
      </c>
      <c r="AG37" s="225">
        <f t="shared" ca="1" si="22"/>
        <v>0</v>
      </c>
      <c r="AH37" s="225">
        <f t="shared" ca="1" si="23"/>
        <v>0</v>
      </c>
      <c r="AI37" s="225">
        <f t="shared" ca="1" si="24"/>
        <v>0</v>
      </c>
      <c r="AJ37" s="225">
        <f t="shared" ca="1" si="25"/>
        <v>0</v>
      </c>
      <c r="AK37" s="225">
        <f t="shared" ca="1" si="26"/>
        <v>0</v>
      </c>
      <c r="AL37" s="225">
        <f t="shared" ca="1" si="27"/>
        <v>0</v>
      </c>
      <c r="AM37" s="225">
        <f t="shared" ca="1" si="28"/>
        <v>0</v>
      </c>
      <c r="AN37" s="225">
        <f t="shared" ca="1" si="29"/>
        <v>0</v>
      </c>
      <c r="AO37" s="225">
        <f t="shared" ca="1" si="30"/>
        <v>0</v>
      </c>
      <c r="AP37" s="225">
        <f t="shared" ca="1" si="31"/>
        <v>274195.66659946507</v>
      </c>
    </row>
    <row r="38" spans="11:42">
      <c r="K38" s="22">
        <v>11</v>
      </c>
      <c r="L38" s="225">
        <f t="shared" ca="1" si="1"/>
        <v>26484.741346129464</v>
      </c>
      <c r="M38" s="225">
        <f t="shared" ca="1" si="2"/>
        <v>27878.675101188906</v>
      </c>
      <c r="N38" s="225">
        <f t="shared" ca="1" si="3"/>
        <v>29506.071847412157</v>
      </c>
      <c r="O38" s="225">
        <f t="shared" ca="1" si="4"/>
        <v>31563.417950063995</v>
      </c>
      <c r="P38" s="225">
        <f t="shared" ca="1" si="5"/>
        <v>34130.3010048</v>
      </c>
      <c r="Q38" s="225">
        <f t="shared" ca="1" si="6"/>
        <v>37310.48244</v>
      </c>
      <c r="R38" s="225">
        <f t="shared" ca="1" si="7"/>
        <v>41239.043999999994</v>
      </c>
      <c r="S38" s="225">
        <f t="shared" ca="1" si="8"/>
        <v>23642.774366400008</v>
      </c>
      <c r="T38" s="225">
        <f t="shared" ca="1" si="9"/>
        <v>0</v>
      </c>
      <c r="U38" s="225">
        <f t="shared" ca="1" si="10"/>
        <v>0</v>
      </c>
      <c r="V38" s="225">
        <f t="shared" ca="1" si="11"/>
        <v>0</v>
      </c>
      <c r="W38" s="225">
        <f t="shared" ca="1" si="12"/>
        <v>0</v>
      </c>
      <c r="X38" s="225">
        <f t="shared" ca="1" si="13"/>
        <v>0</v>
      </c>
      <c r="Y38" s="225">
        <f t="shared" ca="1" si="14"/>
        <v>0</v>
      </c>
      <c r="Z38" s="225">
        <f t="shared" ca="1" si="15"/>
        <v>0</v>
      </c>
      <c r="AA38" s="225">
        <f t="shared" ca="1" si="16"/>
        <v>0</v>
      </c>
      <c r="AB38" s="225">
        <f t="shared" ca="1" si="17"/>
        <v>0</v>
      </c>
      <c r="AC38" s="225">
        <f t="shared" ca="1" si="18"/>
        <v>0</v>
      </c>
      <c r="AD38" s="225">
        <f t="shared" ca="1" si="19"/>
        <v>0</v>
      </c>
      <c r="AE38" s="225">
        <f t="shared" ca="1" si="20"/>
        <v>0</v>
      </c>
      <c r="AF38" s="225">
        <f t="shared" ca="1" si="21"/>
        <v>0</v>
      </c>
      <c r="AG38" s="225">
        <f t="shared" ca="1" si="22"/>
        <v>0</v>
      </c>
      <c r="AH38" s="225">
        <f t="shared" ca="1" si="23"/>
        <v>0</v>
      </c>
      <c r="AI38" s="225">
        <f t="shared" ca="1" si="24"/>
        <v>0</v>
      </c>
      <c r="AJ38" s="225">
        <f t="shared" ca="1" si="25"/>
        <v>0</v>
      </c>
      <c r="AK38" s="225">
        <f t="shared" ca="1" si="26"/>
        <v>0</v>
      </c>
      <c r="AL38" s="225">
        <f t="shared" ca="1" si="27"/>
        <v>0</v>
      </c>
      <c r="AM38" s="225">
        <f t="shared" ca="1" si="28"/>
        <v>0</v>
      </c>
      <c r="AN38" s="225">
        <f t="shared" ca="1" si="29"/>
        <v>0</v>
      </c>
      <c r="AO38" s="225">
        <f t="shared" ca="1" si="30"/>
        <v>0</v>
      </c>
      <c r="AP38" s="225">
        <f t="shared" ca="1" si="31"/>
        <v>251755.50805599449</v>
      </c>
    </row>
    <row r="39" spans="11:42">
      <c r="K39" s="22">
        <v>12</v>
      </c>
      <c r="L39" s="225">
        <f t="shared" ca="1" si="1"/>
        <v>25160.504278822991</v>
      </c>
      <c r="M39" s="225">
        <f t="shared" ca="1" si="2"/>
        <v>26484.741346129464</v>
      </c>
      <c r="N39" s="225">
        <f t="shared" ca="1" si="3"/>
        <v>27878.675101188906</v>
      </c>
      <c r="O39" s="225">
        <f t="shared" ca="1" si="4"/>
        <v>29506.071847412157</v>
      </c>
      <c r="P39" s="225">
        <f t="shared" ca="1" si="5"/>
        <v>31563.417950063995</v>
      </c>
      <c r="Q39" s="225">
        <f t="shared" ca="1" si="6"/>
        <v>34130.3010048</v>
      </c>
      <c r="R39" s="225">
        <f t="shared" ca="1" si="7"/>
        <v>37310.48244</v>
      </c>
      <c r="S39" s="225">
        <f t="shared" ca="1" si="8"/>
        <v>21278.496929760011</v>
      </c>
      <c r="T39" s="225">
        <f t="shared" ca="1" si="9"/>
        <v>0</v>
      </c>
      <c r="U39" s="225">
        <f t="shared" ca="1" si="10"/>
        <v>0</v>
      </c>
      <c r="V39" s="225">
        <f t="shared" ca="1" si="11"/>
        <v>0</v>
      </c>
      <c r="W39" s="225">
        <f t="shared" ca="1" si="12"/>
        <v>0</v>
      </c>
      <c r="X39" s="225">
        <f t="shared" ca="1" si="13"/>
        <v>0</v>
      </c>
      <c r="Y39" s="225">
        <f t="shared" ca="1" si="14"/>
        <v>0</v>
      </c>
      <c r="Z39" s="225">
        <f t="shared" ca="1" si="15"/>
        <v>0</v>
      </c>
      <c r="AA39" s="225">
        <f t="shared" ca="1" si="16"/>
        <v>0</v>
      </c>
      <c r="AB39" s="225">
        <f t="shared" ca="1" si="17"/>
        <v>0</v>
      </c>
      <c r="AC39" s="225">
        <f t="shared" ca="1" si="18"/>
        <v>0</v>
      </c>
      <c r="AD39" s="225">
        <f t="shared" ca="1" si="19"/>
        <v>0</v>
      </c>
      <c r="AE39" s="225">
        <f t="shared" ca="1" si="20"/>
        <v>0</v>
      </c>
      <c r="AF39" s="225">
        <f t="shared" ca="1" si="21"/>
        <v>0</v>
      </c>
      <c r="AG39" s="225">
        <f t="shared" ca="1" si="22"/>
        <v>0</v>
      </c>
      <c r="AH39" s="225">
        <f t="shared" ca="1" si="23"/>
        <v>0</v>
      </c>
      <c r="AI39" s="225">
        <f t="shared" ca="1" si="24"/>
        <v>0</v>
      </c>
      <c r="AJ39" s="225">
        <f t="shared" ca="1" si="25"/>
        <v>0</v>
      </c>
      <c r="AK39" s="225">
        <f t="shared" ca="1" si="26"/>
        <v>0</v>
      </c>
      <c r="AL39" s="225">
        <f t="shared" ca="1" si="27"/>
        <v>0</v>
      </c>
      <c r="AM39" s="225">
        <f t="shared" ca="1" si="28"/>
        <v>0</v>
      </c>
      <c r="AN39" s="225">
        <f t="shared" ca="1" si="29"/>
        <v>0</v>
      </c>
      <c r="AO39" s="225">
        <f t="shared" ca="1" si="30"/>
        <v>0</v>
      </c>
      <c r="AP39" s="225">
        <f t="shared" ca="1" si="31"/>
        <v>233312.69089817753</v>
      </c>
    </row>
    <row r="40" spans="11:42">
      <c r="K40" s="22">
        <v>13</v>
      </c>
      <c r="L40" s="225">
        <f t="shared" ca="1" si="1"/>
        <v>23902.479064881838</v>
      </c>
      <c r="M40" s="225">
        <f t="shared" ca="1" si="2"/>
        <v>25160.504278822991</v>
      </c>
      <c r="N40" s="225">
        <f t="shared" ca="1" si="3"/>
        <v>26484.741346129464</v>
      </c>
      <c r="O40" s="225">
        <f t="shared" ca="1" si="4"/>
        <v>27878.675101188906</v>
      </c>
      <c r="P40" s="225">
        <f t="shared" ca="1" si="5"/>
        <v>29506.071847412157</v>
      </c>
      <c r="Q40" s="225">
        <f t="shared" ca="1" si="6"/>
        <v>31563.417950063995</v>
      </c>
      <c r="R40" s="225">
        <f t="shared" ca="1" si="7"/>
        <v>34130.3010048</v>
      </c>
      <c r="S40" s="225">
        <f t="shared" ca="1" si="8"/>
        <v>19251.44011697761</v>
      </c>
      <c r="T40" s="225">
        <f t="shared" ca="1" si="9"/>
        <v>0</v>
      </c>
      <c r="U40" s="225">
        <f t="shared" ca="1" si="10"/>
        <v>0</v>
      </c>
      <c r="V40" s="225">
        <f t="shared" ca="1" si="11"/>
        <v>0</v>
      </c>
      <c r="W40" s="225">
        <f t="shared" ca="1" si="12"/>
        <v>0</v>
      </c>
      <c r="X40" s="225">
        <f t="shared" ca="1" si="13"/>
        <v>0</v>
      </c>
      <c r="Y40" s="225">
        <f t="shared" ca="1" si="14"/>
        <v>0</v>
      </c>
      <c r="Z40" s="225">
        <f t="shared" ca="1" si="15"/>
        <v>0</v>
      </c>
      <c r="AA40" s="225">
        <f t="shared" ca="1" si="16"/>
        <v>0</v>
      </c>
      <c r="AB40" s="225">
        <f t="shared" ca="1" si="17"/>
        <v>0</v>
      </c>
      <c r="AC40" s="225">
        <f t="shared" ca="1" si="18"/>
        <v>0</v>
      </c>
      <c r="AD40" s="225">
        <f t="shared" ca="1" si="19"/>
        <v>0</v>
      </c>
      <c r="AE40" s="225">
        <f t="shared" ca="1" si="20"/>
        <v>0</v>
      </c>
      <c r="AF40" s="225">
        <f t="shared" ca="1" si="21"/>
        <v>0</v>
      </c>
      <c r="AG40" s="225">
        <f t="shared" ca="1" si="22"/>
        <v>0</v>
      </c>
      <c r="AH40" s="225">
        <f t="shared" ca="1" si="23"/>
        <v>0</v>
      </c>
      <c r="AI40" s="225">
        <f t="shared" ca="1" si="24"/>
        <v>0</v>
      </c>
      <c r="AJ40" s="225">
        <f t="shared" ca="1" si="25"/>
        <v>0</v>
      </c>
      <c r="AK40" s="225">
        <f t="shared" ca="1" si="26"/>
        <v>0</v>
      </c>
      <c r="AL40" s="225">
        <f t="shared" ca="1" si="27"/>
        <v>0</v>
      </c>
      <c r="AM40" s="225">
        <f t="shared" ca="1" si="28"/>
        <v>0</v>
      </c>
      <c r="AN40" s="225">
        <f t="shared" ca="1" si="29"/>
        <v>0</v>
      </c>
      <c r="AO40" s="225">
        <f t="shared" ca="1" si="30"/>
        <v>0</v>
      </c>
      <c r="AP40" s="225">
        <f t="shared" ca="1" si="31"/>
        <v>217877.63071027695</v>
      </c>
    </row>
    <row r="41" spans="11:42">
      <c r="K41" s="22">
        <v>14</v>
      </c>
      <c r="L41" s="225">
        <f t="shared" ca="1" si="1"/>
        <v>22823.80308656922</v>
      </c>
      <c r="M41" s="225">
        <f t="shared" ca="1" si="2"/>
        <v>23902.479064881838</v>
      </c>
      <c r="N41" s="225">
        <f t="shared" ca="1" si="3"/>
        <v>25160.504278822991</v>
      </c>
      <c r="O41" s="225">
        <f t="shared" ca="1" si="4"/>
        <v>26484.741346129464</v>
      </c>
      <c r="P41" s="225">
        <f t="shared" ca="1" si="5"/>
        <v>27878.675101188906</v>
      </c>
      <c r="Q41" s="225">
        <f t="shared" ca="1" si="6"/>
        <v>29506.071847412157</v>
      </c>
      <c r="R41" s="225">
        <f t="shared" ca="1" si="7"/>
        <v>31563.417950063995</v>
      </c>
      <c r="S41" s="225">
        <f t="shared" ca="1" si="8"/>
        <v>17610.532027425797</v>
      </c>
      <c r="T41" s="225">
        <f t="shared" ca="1" si="9"/>
        <v>0</v>
      </c>
      <c r="U41" s="225">
        <f t="shared" ca="1" si="10"/>
        <v>0</v>
      </c>
      <c r="V41" s="225">
        <f t="shared" ca="1" si="11"/>
        <v>0</v>
      </c>
      <c r="W41" s="225">
        <f t="shared" ca="1" si="12"/>
        <v>0</v>
      </c>
      <c r="X41" s="225">
        <f t="shared" ca="1" si="13"/>
        <v>0</v>
      </c>
      <c r="Y41" s="225">
        <f t="shared" ca="1" si="14"/>
        <v>0</v>
      </c>
      <c r="Z41" s="225">
        <f t="shared" ca="1" si="15"/>
        <v>0</v>
      </c>
      <c r="AA41" s="225">
        <f t="shared" ca="1" si="16"/>
        <v>0</v>
      </c>
      <c r="AB41" s="225">
        <f t="shared" ca="1" si="17"/>
        <v>0</v>
      </c>
      <c r="AC41" s="225">
        <f t="shared" ca="1" si="18"/>
        <v>0</v>
      </c>
      <c r="AD41" s="225">
        <f t="shared" ca="1" si="19"/>
        <v>0</v>
      </c>
      <c r="AE41" s="225">
        <f t="shared" ca="1" si="20"/>
        <v>0</v>
      </c>
      <c r="AF41" s="225">
        <f t="shared" ca="1" si="21"/>
        <v>0</v>
      </c>
      <c r="AG41" s="225">
        <f t="shared" ca="1" si="22"/>
        <v>0</v>
      </c>
      <c r="AH41" s="225">
        <f t="shared" ca="1" si="23"/>
        <v>0</v>
      </c>
      <c r="AI41" s="225">
        <f t="shared" ca="1" si="24"/>
        <v>0</v>
      </c>
      <c r="AJ41" s="225">
        <f t="shared" ca="1" si="25"/>
        <v>0</v>
      </c>
      <c r="AK41" s="225">
        <f t="shared" ca="1" si="26"/>
        <v>0</v>
      </c>
      <c r="AL41" s="225">
        <f t="shared" ca="1" si="27"/>
        <v>0</v>
      </c>
      <c r="AM41" s="225">
        <f t="shared" ca="1" si="28"/>
        <v>0</v>
      </c>
      <c r="AN41" s="225">
        <f t="shared" ca="1" si="29"/>
        <v>0</v>
      </c>
      <c r="AO41" s="225">
        <f t="shared" ca="1" si="30"/>
        <v>0</v>
      </c>
      <c r="AP41" s="225">
        <f t="shared" ca="1" si="31"/>
        <v>204930.22470249436</v>
      </c>
    </row>
    <row r="42" spans="11:42">
      <c r="K42" s="22">
        <v>15</v>
      </c>
      <c r="L42" s="225">
        <f t="shared" ca="1" si="1"/>
        <v>21910.850963106452</v>
      </c>
      <c r="M42" s="225">
        <f t="shared" ca="1" si="2"/>
        <v>22823.80308656922</v>
      </c>
      <c r="N42" s="225">
        <f t="shared" ca="1" si="3"/>
        <v>23902.479064881838</v>
      </c>
      <c r="O42" s="225">
        <f t="shared" ca="1" si="4"/>
        <v>25160.504278822991</v>
      </c>
      <c r="P42" s="225">
        <f t="shared" ca="1" si="5"/>
        <v>26484.741346129464</v>
      </c>
      <c r="Q42" s="225">
        <f t="shared" ca="1" si="6"/>
        <v>27878.675101188906</v>
      </c>
      <c r="R42" s="225">
        <f t="shared" ca="1" si="7"/>
        <v>29506.071847412157</v>
      </c>
      <c r="S42" s="225">
        <f t="shared" ca="1" si="8"/>
        <v>16286.073264529818</v>
      </c>
      <c r="T42" s="225">
        <f t="shared" ca="1" si="9"/>
        <v>0</v>
      </c>
      <c r="U42" s="225">
        <f t="shared" ca="1" si="10"/>
        <v>0</v>
      </c>
      <c r="V42" s="225">
        <f t="shared" ca="1" si="11"/>
        <v>0</v>
      </c>
      <c r="W42" s="225">
        <f t="shared" ca="1" si="12"/>
        <v>0</v>
      </c>
      <c r="X42" s="225">
        <f t="shared" ca="1" si="13"/>
        <v>0</v>
      </c>
      <c r="Y42" s="225">
        <f t="shared" ca="1" si="14"/>
        <v>0</v>
      </c>
      <c r="Z42" s="225">
        <f t="shared" ca="1" si="15"/>
        <v>0</v>
      </c>
      <c r="AA42" s="225">
        <f t="shared" ca="1" si="16"/>
        <v>0</v>
      </c>
      <c r="AB42" s="225">
        <f t="shared" ca="1" si="17"/>
        <v>0</v>
      </c>
      <c r="AC42" s="225">
        <f t="shared" ca="1" si="18"/>
        <v>0</v>
      </c>
      <c r="AD42" s="225">
        <f t="shared" ca="1" si="19"/>
        <v>0</v>
      </c>
      <c r="AE42" s="225">
        <f t="shared" ca="1" si="20"/>
        <v>0</v>
      </c>
      <c r="AF42" s="225">
        <f t="shared" ca="1" si="21"/>
        <v>0</v>
      </c>
      <c r="AG42" s="225">
        <f t="shared" ca="1" si="22"/>
        <v>0</v>
      </c>
      <c r="AH42" s="225">
        <f t="shared" ca="1" si="23"/>
        <v>0</v>
      </c>
      <c r="AI42" s="225">
        <f t="shared" ca="1" si="24"/>
        <v>0</v>
      </c>
      <c r="AJ42" s="225">
        <f t="shared" ca="1" si="25"/>
        <v>0</v>
      </c>
      <c r="AK42" s="225">
        <f t="shared" ca="1" si="26"/>
        <v>0</v>
      </c>
      <c r="AL42" s="225">
        <f t="shared" ca="1" si="27"/>
        <v>0</v>
      </c>
      <c r="AM42" s="225">
        <f t="shared" ca="1" si="28"/>
        <v>0</v>
      </c>
      <c r="AN42" s="225">
        <f t="shared" ca="1" si="29"/>
        <v>0</v>
      </c>
      <c r="AO42" s="225">
        <f t="shared" ca="1" si="30"/>
        <v>0</v>
      </c>
      <c r="AP42" s="225">
        <f t="shared" ca="1" si="31"/>
        <v>193953.19895264084</v>
      </c>
    </row>
    <row r="43" spans="11:42">
      <c r="K43" s="22">
        <v>16</v>
      </c>
      <c r="L43" s="225">
        <f t="shared" ca="1" si="1"/>
        <v>21034.416924582194</v>
      </c>
      <c r="M43" s="225">
        <f t="shared" ca="1" si="2"/>
        <v>21910.850963106452</v>
      </c>
      <c r="N43" s="225">
        <f t="shared" ca="1" si="3"/>
        <v>22823.80308656922</v>
      </c>
      <c r="O43" s="225">
        <f t="shared" ca="1" si="4"/>
        <v>23902.479064881838</v>
      </c>
      <c r="P43" s="225">
        <f t="shared" ca="1" si="5"/>
        <v>25160.504278822991</v>
      </c>
      <c r="Q43" s="225">
        <f t="shared" ca="1" si="6"/>
        <v>26484.741346129464</v>
      </c>
      <c r="R43" s="225">
        <f t="shared" ca="1" si="7"/>
        <v>27878.675101188906</v>
      </c>
      <c r="S43" s="225">
        <f t="shared" ca="1" si="8"/>
        <v>15224.525069359946</v>
      </c>
      <c r="T43" s="225">
        <f t="shared" ca="1" si="9"/>
        <v>0</v>
      </c>
      <c r="U43" s="225">
        <f t="shared" ca="1" si="10"/>
        <v>0</v>
      </c>
      <c r="V43" s="225">
        <f t="shared" ca="1" si="11"/>
        <v>0</v>
      </c>
      <c r="W43" s="225">
        <f t="shared" ca="1" si="12"/>
        <v>0</v>
      </c>
      <c r="X43" s="225">
        <f t="shared" ca="1" si="13"/>
        <v>0</v>
      </c>
      <c r="Y43" s="225">
        <f t="shared" ca="1" si="14"/>
        <v>0</v>
      </c>
      <c r="Z43" s="225">
        <f t="shared" ca="1" si="15"/>
        <v>0</v>
      </c>
      <c r="AA43" s="225">
        <f t="shared" ca="1" si="16"/>
        <v>0</v>
      </c>
      <c r="AB43" s="225">
        <f t="shared" ca="1" si="17"/>
        <v>0</v>
      </c>
      <c r="AC43" s="225">
        <f t="shared" ca="1" si="18"/>
        <v>0</v>
      </c>
      <c r="AD43" s="225">
        <f t="shared" ca="1" si="19"/>
        <v>0</v>
      </c>
      <c r="AE43" s="225">
        <f t="shared" ca="1" si="20"/>
        <v>0</v>
      </c>
      <c r="AF43" s="225">
        <f t="shared" ca="1" si="21"/>
        <v>0</v>
      </c>
      <c r="AG43" s="225">
        <f t="shared" ca="1" si="22"/>
        <v>0</v>
      </c>
      <c r="AH43" s="225">
        <f t="shared" ca="1" si="23"/>
        <v>0</v>
      </c>
      <c r="AI43" s="225">
        <f t="shared" ca="1" si="24"/>
        <v>0</v>
      </c>
      <c r="AJ43" s="225">
        <f t="shared" ca="1" si="25"/>
        <v>0</v>
      </c>
      <c r="AK43" s="225">
        <f t="shared" ca="1" si="26"/>
        <v>0</v>
      </c>
      <c r="AL43" s="225">
        <f t="shared" ca="1" si="27"/>
        <v>0</v>
      </c>
      <c r="AM43" s="225">
        <f t="shared" ca="1" si="28"/>
        <v>0</v>
      </c>
      <c r="AN43" s="225">
        <f t="shared" ca="1" si="29"/>
        <v>0</v>
      </c>
      <c r="AO43" s="225">
        <f t="shared" ca="1" si="30"/>
        <v>0</v>
      </c>
      <c r="AP43" s="225">
        <f t="shared" ca="1" si="31"/>
        <v>184419.99583464101</v>
      </c>
    </row>
    <row r="44" spans="11:42">
      <c r="K44" s="22">
        <v>17</v>
      </c>
      <c r="L44" s="225">
        <f t="shared" ca="1" si="1"/>
        <v>20193.040247598903</v>
      </c>
      <c r="M44" s="225">
        <f t="shared" ca="1" si="2"/>
        <v>21034.416924582194</v>
      </c>
      <c r="N44" s="225">
        <f t="shared" ca="1" si="3"/>
        <v>21910.850963106452</v>
      </c>
      <c r="O44" s="225">
        <f t="shared" ca="1" si="4"/>
        <v>22823.80308656922</v>
      </c>
      <c r="P44" s="225">
        <f t="shared" ca="1" si="5"/>
        <v>23902.479064881838</v>
      </c>
      <c r="Q44" s="225">
        <f t="shared" ca="1" si="6"/>
        <v>25160.504278822991</v>
      </c>
      <c r="R44" s="225">
        <f t="shared" ca="1" si="7"/>
        <v>26484.741346129464</v>
      </c>
      <c r="S44" s="225">
        <f t="shared" ca="1" si="8"/>
        <v>14384.821882544733</v>
      </c>
      <c r="T44" s="225">
        <f t="shared" ca="1" si="9"/>
        <v>0</v>
      </c>
      <c r="U44" s="225">
        <f t="shared" ca="1" si="10"/>
        <v>0</v>
      </c>
      <c r="V44" s="225">
        <f t="shared" ca="1" si="11"/>
        <v>0</v>
      </c>
      <c r="W44" s="225">
        <f t="shared" ca="1" si="12"/>
        <v>0</v>
      </c>
      <c r="X44" s="225">
        <f t="shared" ca="1" si="13"/>
        <v>0</v>
      </c>
      <c r="Y44" s="225">
        <f t="shared" ca="1" si="14"/>
        <v>0</v>
      </c>
      <c r="Z44" s="225">
        <f t="shared" ca="1" si="15"/>
        <v>0</v>
      </c>
      <c r="AA44" s="225">
        <f t="shared" ca="1" si="16"/>
        <v>0</v>
      </c>
      <c r="AB44" s="225">
        <f t="shared" ca="1" si="17"/>
        <v>0</v>
      </c>
      <c r="AC44" s="225">
        <f t="shared" ca="1" si="18"/>
        <v>0</v>
      </c>
      <c r="AD44" s="225">
        <f t="shared" ca="1" si="19"/>
        <v>0</v>
      </c>
      <c r="AE44" s="225">
        <f t="shared" ca="1" si="20"/>
        <v>0</v>
      </c>
      <c r="AF44" s="225">
        <f t="shared" ca="1" si="21"/>
        <v>0</v>
      </c>
      <c r="AG44" s="225">
        <f t="shared" ca="1" si="22"/>
        <v>0</v>
      </c>
      <c r="AH44" s="225">
        <f t="shared" ca="1" si="23"/>
        <v>0</v>
      </c>
      <c r="AI44" s="225">
        <f t="shared" ca="1" si="24"/>
        <v>0</v>
      </c>
      <c r="AJ44" s="225">
        <f t="shared" ca="1" si="25"/>
        <v>0</v>
      </c>
      <c r="AK44" s="225">
        <f t="shared" ca="1" si="26"/>
        <v>0</v>
      </c>
      <c r="AL44" s="225">
        <f t="shared" ca="1" si="27"/>
        <v>0</v>
      </c>
      <c r="AM44" s="225">
        <f t="shared" ca="1" si="28"/>
        <v>0</v>
      </c>
      <c r="AN44" s="225">
        <f t="shared" ca="1" si="29"/>
        <v>0</v>
      </c>
      <c r="AO44" s="225">
        <f t="shared" ca="1" si="30"/>
        <v>0</v>
      </c>
      <c r="AP44" s="225">
        <f t="shared" ca="1" si="31"/>
        <v>175894.65779423574</v>
      </c>
    </row>
    <row r="45" spans="11:42">
      <c r="K45" s="22">
        <v>18</v>
      </c>
      <c r="L45" s="225">
        <f t="shared" ca="1" si="1"/>
        <v>19385.318637694949</v>
      </c>
      <c r="M45" s="225">
        <f t="shared" ca="1" si="2"/>
        <v>20193.040247598903</v>
      </c>
      <c r="N45" s="225">
        <f t="shared" ca="1" si="3"/>
        <v>21034.416924582194</v>
      </c>
      <c r="O45" s="225">
        <f t="shared" ca="1" si="4"/>
        <v>21910.850963106452</v>
      </c>
      <c r="P45" s="225">
        <f t="shared" ca="1" si="5"/>
        <v>22823.80308656922</v>
      </c>
      <c r="Q45" s="225">
        <f t="shared" ca="1" si="6"/>
        <v>23902.479064881838</v>
      </c>
      <c r="R45" s="225">
        <f t="shared" ca="1" si="7"/>
        <v>25160.504278822991</v>
      </c>
      <c r="S45" s="225">
        <f t="shared" ca="1" si="8"/>
        <v>13665.580788417497</v>
      </c>
      <c r="T45" s="225">
        <f t="shared" ca="1" si="9"/>
        <v>0</v>
      </c>
      <c r="U45" s="225">
        <f t="shared" ca="1" si="10"/>
        <v>0</v>
      </c>
      <c r="V45" s="225">
        <f t="shared" ca="1" si="11"/>
        <v>0</v>
      </c>
      <c r="W45" s="225">
        <f t="shared" ca="1" si="12"/>
        <v>0</v>
      </c>
      <c r="X45" s="225">
        <f t="shared" ca="1" si="13"/>
        <v>0</v>
      </c>
      <c r="Y45" s="225">
        <f t="shared" ca="1" si="14"/>
        <v>0</v>
      </c>
      <c r="Z45" s="225">
        <f t="shared" ca="1" si="15"/>
        <v>0</v>
      </c>
      <c r="AA45" s="225">
        <f t="shared" ca="1" si="16"/>
        <v>0</v>
      </c>
      <c r="AB45" s="225">
        <f t="shared" ca="1" si="17"/>
        <v>0</v>
      </c>
      <c r="AC45" s="225">
        <f t="shared" ca="1" si="18"/>
        <v>0</v>
      </c>
      <c r="AD45" s="225">
        <f t="shared" ca="1" si="19"/>
        <v>0</v>
      </c>
      <c r="AE45" s="225">
        <f t="shared" ca="1" si="20"/>
        <v>0</v>
      </c>
      <c r="AF45" s="225">
        <f t="shared" ca="1" si="21"/>
        <v>0</v>
      </c>
      <c r="AG45" s="225">
        <f t="shared" ca="1" si="22"/>
        <v>0</v>
      </c>
      <c r="AH45" s="225">
        <f t="shared" ca="1" si="23"/>
        <v>0</v>
      </c>
      <c r="AI45" s="225">
        <f t="shared" ca="1" si="24"/>
        <v>0</v>
      </c>
      <c r="AJ45" s="225">
        <f t="shared" ca="1" si="25"/>
        <v>0</v>
      </c>
      <c r="AK45" s="225">
        <f t="shared" ca="1" si="26"/>
        <v>0</v>
      </c>
      <c r="AL45" s="225">
        <f t="shared" ca="1" si="27"/>
        <v>0</v>
      </c>
      <c r="AM45" s="225">
        <f t="shared" ca="1" si="28"/>
        <v>0</v>
      </c>
      <c r="AN45" s="225">
        <f t="shared" ca="1" si="29"/>
        <v>0</v>
      </c>
      <c r="AO45" s="225">
        <f t="shared" ca="1" si="30"/>
        <v>0</v>
      </c>
      <c r="AP45" s="225">
        <f t="shared" ca="1" si="31"/>
        <v>168075.99399167404</v>
      </c>
    </row>
    <row r="46" spans="11:42">
      <c r="K46" s="22">
        <v>19</v>
      </c>
      <c r="L46" s="225">
        <f t="shared" ca="1" si="1"/>
        <v>18609.905892187147</v>
      </c>
      <c r="M46" s="225">
        <f t="shared" ca="1" si="2"/>
        <v>19385.318637694949</v>
      </c>
      <c r="N46" s="225">
        <f t="shared" ca="1" si="3"/>
        <v>20193.040247598903</v>
      </c>
      <c r="O46" s="225">
        <f t="shared" ca="1" si="4"/>
        <v>21034.416924582194</v>
      </c>
      <c r="P46" s="225">
        <f t="shared" ca="1" si="5"/>
        <v>21910.850963106452</v>
      </c>
      <c r="Q46" s="225">
        <f t="shared" ca="1" si="6"/>
        <v>22823.80308656922</v>
      </c>
      <c r="R46" s="225">
        <f t="shared" ca="1" si="7"/>
        <v>23902.479064881838</v>
      </c>
      <c r="S46" s="225">
        <f t="shared" ca="1" si="8"/>
        <v>12982.301748996622</v>
      </c>
      <c r="T46" s="225">
        <f t="shared" ca="1" si="9"/>
        <v>0</v>
      </c>
      <c r="U46" s="225">
        <f t="shared" ca="1" si="10"/>
        <v>0</v>
      </c>
      <c r="V46" s="225">
        <f t="shared" ca="1" si="11"/>
        <v>0</v>
      </c>
      <c r="W46" s="225">
        <f t="shared" ca="1" si="12"/>
        <v>0</v>
      </c>
      <c r="X46" s="225">
        <f t="shared" ca="1" si="13"/>
        <v>0</v>
      </c>
      <c r="Y46" s="225">
        <f t="shared" ca="1" si="14"/>
        <v>0</v>
      </c>
      <c r="Z46" s="225">
        <f t="shared" ca="1" si="15"/>
        <v>0</v>
      </c>
      <c r="AA46" s="225">
        <f t="shared" ca="1" si="16"/>
        <v>0</v>
      </c>
      <c r="AB46" s="225">
        <f t="shared" ca="1" si="17"/>
        <v>0</v>
      </c>
      <c r="AC46" s="225">
        <f t="shared" ca="1" si="18"/>
        <v>0</v>
      </c>
      <c r="AD46" s="225">
        <f t="shared" ca="1" si="19"/>
        <v>0</v>
      </c>
      <c r="AE46" s="225">
        <f t="shared" ca="1" si="20"/>
        <v>0</v>
      </c>
      <c r="AF46" s="225">
        <f t="shared" ca="1" si="21"/>
        <v>0</v>
      </c>
      <c r="AG46" s="225">
        <f t="shared" ca="1" si="22"/>
        <v>0</v>
      </c>
      <c r="AH46" s="225">
        <f t="shared" ca="1" si="23"/>
        <v>0</v>
      </c>
      <c r="AI46" s="225">
        <f t="shared" ca="1" si="24"/>
        <v>0</v>
      </c>
      <c r="AJ46" s="225">
        <f t="shared" ca="1" si="25"/>
        <v>0</v>
      </c>
      <c r="AK46" s="225">
        <f t="shared" ca="1" si="26"/>
        <v>0</v>
      </c>
      <c r="AL46" s="225">
        <f t="shared" ca="1" si="27"/>
        <v>0</v>
      </c>
      <c r="AM46" s="225">
        <f t="shared" ca="1" si="28"/>
        <v>0</v>
      </c>
      <c r="AN46" s="225">
        <f t="shared" ca="1" si="29"/>
        <v>0</v>
      </c>
      <c r="AO46" s="225">
        <f t="shared" ca="1" si="30"/>
        <v>0</v>
      </c>
      <c r="AP46" s="225">
        <f t="shared" ca="1" si="31"/>
        <v>160842.11656561733</v>
      </c>
    </row>
    <row r="47" spans="11:42">
      <c r="K47" s="22">
        <v>20</v>
      </c>
      <c r="L47" s="225">
        <f t="shared" ca="1" si="1"/>
        <v>17865.509656499664</v>
      </c>
      <c r="M47" s="225">
        <f t="shared" ca="1" si="2"/>
        <v>18609.905892187147</v>
      </c>
      <c r="N47" s="225">
        <f t="shared" ca="1" si="3"/>
        <v>19385.318637694949</v>
      </c>
      <c r="O47" s="225">
        <f t="shared" ca="1" si="4"/>
        <v>20193.040247598903</v>
      </c>
      <c r="P47" s="225">
        <f t="shared" ca="1" si="5"/>
        <v>21034.416924582194</v>
      </c>
      <c r="Q47" s="225">
        <f t="shared" ca="1" si="6"/>
        <v>21910.850963106452</v>
      </c>
      <c r="R47" s="225">
        <f t="shared" ca="1" si="7"/>
        <v>22823.80308656922</v>
      </c>
      <c r="S47" s="225">
        <f t="shared" ca="1" si="8"/>
        <v>12333.18666154679</v>
      </c>
      <c r="T47" s="225">
        <f t="shared" ca="1" si="9"/>
        <v>0</v>
      </c>
      <c r="U47" s="225">
        <f t="shared" ca="1" si="10"/>
        <v>0</v>
      </c>
      <c r="V47" s="225">
        <f t="shared" ca="1" si="11"/>
        <v>0</v>
      </c>
      <c r="W47" s="225">
        <f t="shared" ca="1" si="12"/>
        <v>0</v>
      </c>
      <c r="X47" s="225">
        <f t="shared" ca="1" si="13"/>
        <v>0</v>
      </c>
      <c r="Y47" s="225">
        <f t="shared" ca="1" si="14"/>
        <v>0</v>
      </c>
      <c r="Z47" s="225">
        <f t="shared" ca="1" si="15"/>
        <v>0</v>
      </c>
      <c r="AA47" s="225">
        <f t="shared" ca="1" si="16"/>
        <v>0</v>
      </c>
      <c r="AB47" s="225">
        <f t="shared" ca="1" si="17"/>
        <v>0</v>
      </c>
      <c r="AC47" s="225">
        <f t="shared" ca="1" si="18"/>
        <v>0</v>
      </c>
      <c r="AD47" s="225">
        <f t="shared" ca="1" si="19"/>
        <v>0</v>
      </c>
      <c r="AE47" s="225">
        <f t="shared" ca="1" si="20"/>
        <v>0</v>
      </c>
      <c r="AF47" s="225">
        <f t="shared" ca="1" si="21"/>
        <v>0</v>
      </c>
      <c r="AG47" s="225">
        <f t="shared" ca="1" si="22"/>
        <v>0</v>
      </c>
      <c r="AH47" s="225">
        <f t="shared" ca="1" si="23"/>
        <v>0</v>
      </c>
      <c r="AI47" s="225">
        <f t="shared" ca="1" si="24"/>
        <v>0</v>
      </c>
      <c r="AJ47" s="225">
        <f t="shared" ca="1" si="25"/>
        <v>0</v>
      </c>
      <c r="AK47" s="225">
        <f t="shared" ca="1" si="26"/>
        <v>0</v>
      </c>
      <c r="AL47" s="225">
        <f t="shared" ca="1" si="27"/>
        <v>0</v>
      </c>
      <c r="AM47" s="225">
        <f t="shared" ca="1" si="28"/>
        <v>0</v>
      </c>
      <c r="AN47" s="225">
        <f t="shared" ca="1" si="29"/>
        <v>0</v>
      </c>
      <c r="AO47" s="225">
        <f t="shared" ca="1" si="30"/>
        <v>0</v>
      </c>
      <c r="AP47" s="225">
        <f t="shared" ca="1" si="31"/>
        <v>154156.03206978532</v>
      </c>
    </row>
    <row r="48" spans="11:42">
      <c r="K48" s="22">
        <v>21</v>
      </c>
      <c r="L48" s="225">
        <f t="shared" ca="1" si="1"/>
        <v>17150.889270239677</v>
      </c>
      <c r="M48" s="225">
        <f t="shared" ca="1" si="2"/>
        <v>17865.509656499664</v>
      </c>
      <c r="N48" s="225">
        <f t="shared" ca="1" si="3"/>
        <v>18609.905892187147</v>
      </c>
      <c r="O48" s="225">
        <f t="shared" ca="1" si="4"/>
        <v>19385.318637694949</v>
      </c>
      <c r="P48" s="225">
        <f t="shared" ca="1" si="5"/>
        <v>20193.040247598903</v>
      </c>
      <c r="Q48" s="225">
        <f t="shared" ca="1" si="6"/>
        <v>21034.416924582194</v>
      </c>
      <c r="R48" s="225">
        <f t="shared" ca="1" si="7"/>
        <v>21910.850963106452</v>
      </c>
      <c r="S48" s="225">
        <f t="shared" ca="1" si="8"/>
        <v>11776.612084000062</v>
      </c>
      <c r="T48" s="225">
        <f t="shared" ca="1" si="9"/>
        <v>0</v>
      </c>
      <c r="U48" s="225">
        <f t="shared" ca="1" si="10"/>
        <v>0</v>
      </c>
      <c r="V48" s="225">
        <f t="shared" ca="1" si="11"/>
        <v>0</v>
      </c>
      <c r="W48" s="225">
        <f t="shared" ca="1" si="12"/>
        <v>0</v>
      </c>
      <c r="X48" s="225">
        <f t="shared" ca="1" si="13"/>
        <v>0</v>
      </c>
      <c r="Y48" s="225">
        <f t="shared" ca="1" si="14"/>
        <v>0</v>
      </c>
      <c r="Z48" s="225">
        <f t="shared" ca="1" si="15"/>
        <v>0</v>
      </c>
      <c r="AA48" s="225">
        <f t="shared" ca="1" si="16"/>
        <v>0</v>
      </c>
      <c r="AB48" s="225">
        <f t="shared" ca="1" si="17"/>
        <v>0</v>
      </c>
      <c r="AC48" s="225">
        <f t="shared" ca="1" si="18"/>
        <v>0</v>
      </c>
      <c r="AD48" s="225">
        <f t="shared" ca="1" si="19"/>
        <v>0</v>
      </c>
      <c r="AE48" s="225">
        <f t="shared" ca="1" si="20"/>
        <v>0</v>
      </c>
      <c r="AF48" s="225">
        <f t="shared" ca="1" si="21"/>
        <v>0</v>
      </c>
      <c r="AG48" s="225">
        <f t="shared" ca="1" si="22"/>
        <v>0</v>
      </c>
      <c r="AH48" s="225">
        <f t="shared" ca="1" si="23"/>
        <v>0</v>
      </c>
      <c r="AI48" s="225">
        <f t="shared" ca="1" si="24"/>
        <v>0</v>
      </c>
      <c r="AJ48" s="225">
        <f t="shared" ca="1" si="25"/>
        <v>0</v>
      </c>
      <c r="AK48" s="225">
        <f t="shared" ca="1" si="26"/>
        <v>0</v>
      </c>
      <c r="AL48" s="225">
        <f t="shared" ca="1" si="27"/>
        <v>0</v>
      </c>
      <c r="AM48" s="225">
        <f t="shared" ca="1" si="28"/>
        <v>0</v>
      </c>
      <c r="AN48" s="225">
        <f t="shared" ca="1" si="29"/>
        <v>0</v>
      </c>
      <c r="AO48" s="225">
        <f t="shared" ca="1" si="30"/>
        <v>0</v>
      </c>
      <c r="AP48" s="225">
        <f t="shared" ca="1" si="31"/>
        <v>147926.54367590905</v>
      </c>
    </row>
    <row r="49" spans="1:77">
      <c r="K49" s="22">
        <v>22</v>
      </c>
      <c r="L49" s="225">
        <f t="shared" ca="1" si="1"/>
        <v>16464.853699430088</v>
      </c>
      <c r="M49" s="225">
        <f t="shared" ca="1" si="2"/>
        <v>17150.889270239677</v>
      </c>
      <c r="N49" s="225">
        <f t="shared" ca="1" si="3"/>
        <v>17865.509656499664</v>
      </c>
      <c r="O49" s="225">
        <f t="shared" ca="1" si="4"/>
        <v>18609.905892187147</v>
      </c>
      <c r="P49" s="225">
        <f t="shared" ca="1" si="5"/>
        <v>19385.318637694949</v>
      </c>
      <c r="Q49" s="225">
        <f t="shared" ca="1" si="6"/>
        <v>20193.040247598903</v>
      </c>
      <c r="R49" s="225">
        <f t="shared" ca="1" si="7"/>
        <v>21034.416924582194</v>
      </c>
      <c r="S49" s="225">
        <f t="shared" ca="1" si="8"/>
        <v>11305.54760064006</v>
      </c>
      <c r="T49" s="225">
        <f t="shared" ca="1" si="9"/>
        <v>0</v>
      </c>
      <c r="U49" s="225">
        <f t="shared" ca="1" si="10"/>
        <v>0</v>
      </c>
      <c r="V49" s="225">
        <f t="shared" ca="1" si="11"/>
        <v>0</v>
      </c>
      <c r="W49" s="225">
        <f t="shared" ca="1" si="12"/>
        <v>0</v>
      </c>
      <c r="X49" s="225">
        <f t="shared" ca="1" si="13"/>
        <v>0</v>
      </c>
      <c r="Y49" s="225">
        <f t="shared" ca="1" si="14"/>
        <v>0</v>
      </c>
      <c r="Z49" s="225">
        <f t="shared" ca="1" si="15"/>
        <v>0</v>
      </c>
      <c r="AA49" s="225">
        <f t="shared" ca="1" si="16"/>
        <v>0</v>
      </c>
      <c r="AB49" s="225">
        <f t="shared" ca="1" si="17"/>
        <v>0</v>
      </c>
      <c r="AC49" s="225">
        <f t="shared" ca="1" si="18"/>
        <v>0</v>
      </c>
      <c r="AD49" s="225">
        <f t="shared" ca="1" si="19"/>
        <v>0</v>
      </c>
      <c r="AE49" s="225">
        <f t="shared" ca="1" si="20"/>
        <v>0</v>
      </c>
      <c r="AF49" s="225">
        <f t="shared" ca="1" si="21"/>
        <v>0</v>
      </c>
      <c r="AG49" s="225">
        <f t="shared" ca="1" si="22"/>
        <v>0</v>
      </c>
      <c r="AH49" s="225">
        <f t="shared" ca="1" si="23"/>
        <v>0</v>
      </c>
      <c r="AI49" s="225">
        <f t="shared" ca="1" si="24"/>
        <v>0</v>
      </c>
      <c r="AJ49" s="225">
        <f t="shared" ca="1" si="25"/>
        <v>0</v>
      </c>
      <c r="AK49" s="225">
        <f t="shared" ca="1" si="26"/>
        <v>0</v>
      </c>
      <c r="AL49" s="225">
        <f t="shared" ca="1" si="27"/>
        <v>0</v>
      </c>
      <c r="AM49" s="225">
        <f t="shared" ca="1" si="28"/>
        <v>0</v>
      </c>
      <c r="AN49" s="225">
        <f t="shared" ca="1" si="29"/>
        <v>0</v>
      </c>
      <c r="AO49" s="225">
        <f t="shared" ca="1" si="30"/>
        <v>0</v>
      </c>
      <c r="AP49" s="225">
        <f t="shared" ca="1" si="31"/>
        <v>142009.48192887267</v>
      </c>
    </row>
    <row r="50" spans="1:77">
      <c r="K50" s="22">
        <v>23</v>
      </c>
      <c r="L50" s="225">
        <f t="shared" ca="1" si="1"/>
        <v>15806.259551452884</v>
      </c>
      <c r="M50" s="225">
        <f t="shared" ca="1" si="2"/>
        <v>16464.853699430088</v>
      </c>
      <c r="N50" s="225">
        <f t="shared" ca="1" si="3"/>
        <v>17150.889270239677</v>
      </c>
      <c r="O50" s="225">
        <f t="shared" ca="1" si="4"/>
        <v>17865.509656499664</v>
      </c>
      <c r="P50" s="225">
        <f t="shared" ca="1" si="5"/>
        <v>18609.905892187147</v>
      </c>
      <c r="Q50" s="225">
        <f t="shared" ca="1" si="6"/>
        <v>19385.318637694949</v>
      </c>
      <c r="R50" s="225">
        <f t="shared" ca="1" si="7"/>
        <v>20193.040247598903</v>
      </c>
      <c r="S50" s="225">
        <f t="shared" ca="1" si="8"/>
        <v>10853.325696614456</v>
      </c>
      <c r="T50" s="225">
        <f t="shared" ca="1" si="9"/>
        <v>0</v>
      </c>
      <c r="U50" s="225">
        <f t="shared" ca="1" si="10"/>
        <v>0</v>
      </c>
      <c r="V50" s="225">
        <f t="shared" ca="1" si="11"/>
        <v>0</v>
      </c>
      <c r="W50" s="225">
        <f t="shared" ca="1" si="12"/>
        <v>0</v>
      </c>
      <c r="X50" s="225">
        <f t="shared" ca="1" si="13"/>
        <v>0</v>
      </c>
      <c r="Y50" s="225">
        <f t="shared" ca="1" si="14"/>
        <v>0</v>
      </c>
      <c r="Z50" s="225">
        <f t="shared" ca="1" si="15"/>
        <v>0</v>
      </c>
      <c r="AA50" s="225">
        <f t="shared" ca="1" si="16"/>
        <v>0</v>
      </c>
      <c r="AB50" s="225">
        <f t="shared" ca="1" si="17"/>
        <v>0</v>
      </c>
      <c r="AC50" s="225">
        <f t="shared" ca="1" si="18"/>
        <v>0</v>
      </c>
      <c r="AD50" s="225">
        <f t="shared" ca="1" si="19"/>
        <v>0</v>
      </c>
      <c r="AE50" s="225">
        <f t="shared" ca="1" si="20"/>
        <v>0</v>
      </c>
      <c r="AF50" s="225">
        <f t="shared" ca="1" si="21"/>
        <v>0</v>
      </c>
      <c r="AG50" s="225">
        <f t="shared" ca="1" si="22"/>
        <v>0</v>
      </c>
      <c r="AH50" s="225">
        <f t="shared" ca="1" si="23"/>
        <v>0</v>
      </c>
      <c r="AI50" s="225">
        <f t="shared" ca="1" si="24"/>
        <v>0</v>
      </c>
      <c r="AJ50" s="225">
        <f t="shared" ca="1" si="25"/>
        <v>0</v>
      </c>
      <c r="AK50" s="225">
        <f t="shared" ca="1" si="26"/>
        <v>0</v>
      </c>
      <c r="AL50" s="225">
        <f t="shared" ca="1" si="27"/>
        <v>0</v>
      </c>
      <c r="AM50" s="225">
        <f t="shared" ca="1" si="28"/>
        <v>0</v>
      </c>
      <c r="AN50" s="225">
        <f t="shared" ca="1" si="29"/>
        <v>0</v>
      </c>
      <c r="AO50" s="225">
        <f t="shared" ca="1" si="30"/>
        <v>0</v>
      </c>
      <c r="AP50" s="225">
        <f t="shared" ca="1" si="31"/>
        <v>136329.10265171775</v>
      </c>
    </row>
    <row r="51" spans="1:77">
      <c r="K51" s="22">
        <v>24</v>
      </c>
      <c r="L51" s="225">
        <f t="shared" ca="1" si="1"/>
        <v>15174.009169394769</v>
      </c>
      <c r="M51" s="225">
        <f t="shared" ca="1" si="2"/>
        <v>15806.259551452884</v>
      </c>
      <c r="N51" s="225">
        <f t="shared" ca="1" si="3"/>
        <v>16464.853699430088</v>
      </c>
      <c r="O51" s="225">
        <f t="shared" ca="1" si="4"/>
        <v>17150.889270239677</v>
      </c>
      <c r="P51" s="225">
        <f t="shared" ca="1" si="5"/>
        <v>17865.509656499664</v>
      </c>
      <c r="Q51" s="225">
        <f t="shared" ca="1" si="6"/>
        <v>18609.905892187147</v>
      </c>
      <c r="R51" s="225">
        <f t="shared" ca="1" si="7"/>
        <v>19385.318637694949</v>
      </c>
      <c r="S51" s="225">
        <f t="shared" ca="1" si="8"/>
        <v>10419.192668749878</v>
      </c>
      <c r="T51" s="225">
        <f t="shared" ca="1" si="9"/>
        <v>0</v>
      </c>
      <c r="U51" s="225">
        <f t="shared" ca="1" si="10"/>
        <v>0</v>
      </c>
      <c r="V51" s="225">
        <f t="shared" ca="1" si="11"/>
        <v>0</v>
      </c>
      <c r="W51" s="225">
        <f t="shared" ca="1" si="12"/>
        <v>0</v>
      </c>
      <c r="X51" s="225">
        <f t="shared" ca="1" si="13"/>
        <v>0</v>
      </c>
      <c r="Y51" s="225">
        <f t="shared" ca="1" si="14"/>
        <v>0</v>
      </c>
      <c r="Z51" s="225">
        <f t="shared" ca="1" si="15"/>
        <v>0</v>
      </c>
      <c r="AA51" s="225">
        <f t="shared" ca="1" si="16"/>
        <v>0</v>
      </c>
      <c r="AB51" s="225">
        <f t="shared" ca="1" si="17"/>
        <v>0</v>
      </c>
      <c r="AC51" s="225">
        <f t="shared" ca="1" si="18"/>
        <v>0</v>
      </c>
      <c r="AD51" s="225">
        <f t="shared" ca="1" si="19"/>
        <v>0</v>
      </c>
      <c r="AE51" s="225">
        <f t="shared" ca="1" si="20"/>
        <v>0</v>
      </c>
      <c r="AF51" s="225">
        <f t="shared" ca="1" si="21"/>
        <v>0</v>
      </c>
      <c r="AG51" s="225">
        <f t="shared" ca="1" si="22"/>
        <v>0</v>
      </c>
      <c r="AH51" s="225">
        <f t="shared" ca="1" si="23"/>
        <v>0</v>
      </c>
      <c r="AI51" s="225">
        <f t="shared" ca="1" si="24"/>
        <v>0</v>
      </c>
      <c r="AJ51" s="225">
        <f t="shared" ca="1" si="25"/>
        <v>0</v>
      </c>
      <c r="AK51" s="225">
        <f t="shared" ca="1" si="26"/>
        <v>0</v>
      </c>
      <c r="AL51" s="225">
        <f t="shared" ca="1" si="27"/>
        <v>0</v>
      </c>
      <c r="AM51" s="225">
        <f t="shared" ca="1" si="28"/>
        <v>0</v>
      </c>
      <c r="AN51" s="225">
        <f t="shared" ca="1" si="29"/>
        <v>0</v>
      </c>
      <c r="AO51" s="225">
        <f t="shared" ca="1" si="30"/>
        <v>0</v>
      </c>
      <c r="AP51" s="225">
        <f t="shared" ca="1" si="31"/>
        <v>130875.93854564906</v>
      </c>
    </row>
    <row r="52" spans="1:77">
      <c r="K52" s="22">
        <v>25</v>
      </c>
      <c r="L52" s="225">
        <f t="shared" ca="1" si="1"/>
        <v>14567.048802618978</v>
      </c>
      <c r="M52" s="225">
        <f t="shared" ca="1" si="2"/>
        <v>15174.009169394769</v>
      </c>
      <c r="N52" s="225">
        <f t="shared" ca="1" si="3"/>
        <v>15806.259551452884</v>
      </c>
      <c r="O52" s="225">
        <f t="shared" ca="1" si="4"/>
        <v>16464.853699430088</v>
      </c>
      <c r="P52" s="225">
        <f t="shared" ca="1" si="5"/>
        <v>17150.889270239677</v>
      </c>
      <c r="Q52" s="225">
        <f t="shared" ca="1" si="6"/>
        <v>17865.509656499664</v>
      </c>
      <c r="R52" s="225">
        <f t="shared" ca="1" si="7"/>
        <v>18609.905892187147</v>
      </c>
      <c r="S52" s="225">
        <f t="shared" ca="1" si="8"/>
        <v>10002.424961999881</v>
      </c>
      <c r="T52" s="225">
        <f t="shared" ca="1" si="9"/>
        <v>0</v>
      </c>
      <c r="U52" s="225">
        <f t="shared" ca="1" si="10"/>
        <v>0</v>
      </c>
      <c r="V52" s="225">
        <f t="shared" ca="1" si="11"/>
        <v>0</v>
      </c>
      <c r="W52" s="225">
        <f t="shared" ca="1" si="12"/>
        <v>0</v>
      </c>
      <c r="X52" s="225">
        <f t="shared" ca="1" si="13"/>
        <v>0</v>
      </c>
      <c r="Y52" s="225">
        <f t="shared" ca="1" si="14"/>
        <v>0</v>
      </c>
      <c r="Z52" s="225">
        <f t="shared" ca="1" si="15"/>
        <v>0</v>
      </c>
      <c r="AA52" s="225">
        <f t="shared" ca="1" si="16"/>
        <v>0</v>
      </c>
      <c r="AB52" s="225">
        <f t="shared" ca="1" si="17"/>
        <v>0</v>
      </c>
      <c r="AC52" s="225">
        <f t="shared" ca="1" si="18"/>
        <v>0</v>
      </c>
      <c r="AD52" s="225">
        <f t="shared" ca="1" si="19"/>
        <v>0</v>
      </c>
      <c r="AE52" s="225">
        <f t="shared" ca="1" si="20"/>
        <v>0</v>
      </c>
      <c r="AF52" s="225">
        <f t="shared" ca="1" si="21"/>
        <v>0</v>
      </c>
      <c r="AG52" s="225">
        <f t="shared" ca="1" si="22"/>
        <v>0</v>
      </c>
      <c r="AH52" s="225">
        <f t="shared" ca="1" si="23"/>
        <v>0</v>
      </c>
      <c r="AI52" s="225">
        <f t="shared" ca="1" si="24"/>
        <v>0</v>
      </c>
      <c r="AJ52" s="225">
        <f t="shared" ca="1" si="25"/>
        <v>0</v>
      </c>
      <c r="AK52" s="225">
        <f t="shared" ca="1" si="26"/>
        <v>0</v>
      </c>
      <c r="AL52" s="225">
        <f t="shared" ca="1" si="27"/>
        <v>0</v>
      </c>
      <c r="AM52" s="225">
        <f t="shared" ca="1" si="28"/>
        <v>0</v>
      </c>
      <c r="AN52" s="225">
        <f t="shared" ca="1" si="29"/>
        <v>0</v>
      </c>
      <c r="AO52" s="225">
        <f t="shared" ca="1" si="30"/>
        <v>0</v>
      </c>
      <c r="AP52" s="225">
        <f t="shared" ca="1" si="31"/>
        <v>125640.90100382309</v>
      </c>
    </row>
    <row r="53" spans="1:77">
      <c r="K53" s="22">
        <v>26</v>
      </c>
      <c r="L53" s="225">
        <f t="shared" ca="1" si="1"/>
        <v>13984.366850514218</v>
      </c>
      <c r="M53" s="225">
        <f t="shared" ca="1" si="2"/>
        <v>14567.048802618978</v>
      </c>
      <c r="N53" s="225">
        <f t="shared" ca="1" si="3"/>
        <v>15174.009169394769</v>
      </c>
      <c r="O53" s="225">
        <f t="shared" ca="1" si="4"/>
        <v>15806.259551452884</v>
      </c>
      <c r="P53" s="225">
        <f t="shared" ca="1" si="5"/>
        <v>16464.853699430088</v>
      </c>
      <c r="Q53" s="225">
        <f t="shared" ca="1" si="6"/>
        <v>17150.889270239677</v>
      </c>
      <c r="R53" s="225">
        <f t="shared" ca="1" si="7"/>
        <v>17865.509656499664</v>
      </c>
      <c r="S53" s="225">
        <f t="shared" ca="1" si="8"/>
        <v>9602.3279635198851</v>
      </c>
      <c r="T53" s="225">
        <f t="shared" ca="1" si="9"/>
        <v>0</v>
      </c>
      <c r="U53" s="225">
        <f t="shared" ca="1" si="10"/>
        <v>0</v>
      </c>
      <c r="V53" s="225">
        <f t="shared" ca="1" si="11"/>
        <v>0</v>
      </c>
      <c r="W53" s="225">
        <f t="shared" ca="1" si="12"/>
        <v>0</v>
      </c>
      <c r="X53" s="225">
        <f t="shared" ca="1" si="13"/>
        <v>0</v>
      </c>
      <c r="Y53" s="225">
        <f t="shared" ca="1" si="14"/>
        <v>0</v>
      </c>
      <c r="Z53" s="225">
        <f t="shared" ca="1" si="15"/>
        <v>0</v>
      </c>
      <c r="AA53" s="225">
        <f t="shared" ca="1" si="16"/>
        <v>0</v>
      </c>
      <c r="AB53" s="225">
        <f t="shared" ca="1" si="17"/>
        <v>0</v>
      </c>
      <c r="AC53" s="225">
        <f t="shared" ca="1" si="18"/>
        <v>0</v>
      </c>
      <c r="AD53" s="225">
        <f t="shared" ca="1" si="19"/>
        <v>0</v>
      </c>
      <c r="AE53" s="225">
        <f t="shared" ca="1" si="20"/>
        <v>0</v>
      </c>
      <c r="AF53" s="225">
        <f t="shared" ca="1" si="21"/>
        <v>0</v>
      </c>
      <c r="AG53" s="225">
        <f t="shared" ca="1" si="22"/>
        <v>0</v>
      </c>
      <c r="AH53" s="225">
        <f t="shared" ca="1" si="23"/>
        <v>0</v>
      </c>
      <c r="AI53" s="225">
        <f t="shared" ca="1" si="24"/>
        <v>0</v>
      </c>
      <c r="AJ53" s="225">
        <f t="shared" ca="1" si="25"/>
        <v>0</v>
      </c>
      <c r="AK53" s="225">
        <f t="shared" ca="1" si="26"/>
        <v>0</v>
      </c>
      <c r="AL53" s="225">
        <f t="shared" ca="1" si="27"/>
        <v>0</v>
      </c>
      <c r="AM53" s="225">
        <f t="shared" ca="1" si="28"/>
        <v>0</v>
      </c>
      <c r="AN53" s="225">
        <f t="shared" ca="1" si="29"/>
        <v>0</v>
      </c>
      <c r="AO53" s="225">
        <f t="shared" ca="1" si="30"/>
        <v>0</v>
      </c>
      <c r="AP53" s="225">
        <f t="shared" ca="1" si="31"/>
        <v>120615.26496367018</v>
      </c>
    </row>
    <row r="54" spans="1:77">
      <c r="K54" s="22">
        <v>27</v>
      </c>
      <c r="L54" s="225">
        <f t="shared" ca="1" si="1"/>
        <v>12600.468009572593</v>
      </c>
      <c r="M54" s="225">
        <f t="shared" ca="1" si="2"/>
        <v>13984.366850514218</v>
      </c>
      <c r="N54" s="225">
        <f t="shared" ca="1" si="3"/>
        <v>14567.048802618978</v>
      </c>
      <c r="O54" s="225">
        <f t="shared" ca="1" si="4"/>
        <v>15174.009169394769</v>
      </c>
      <c r="P54" s="225">
        <f t="shared" ca="1" si="5"/>
        <v>15806.259551452884</v>
      </c>
      <c r="Q54" s="225">
        <f t="shared" ca="1" si="6"/>
        <v>16464.853699430088</v>
      </c>
      <c r="R54" s="225">
        <f t="shared" ca="1" si="7"/>
        <v>17150.889270239677</v>
      </c>
      <c r="S54" s="225">
        <f t="shared" ca="1" si="8"/>
        <v>9218.2348449790916</v>
      </c>
      <c r="T54" s="225">
        <f t="shared" ca="1" si="9"/>
        <v>0</v>
      </c>
      <c r="U54" s="225">
        <f t="shared" ca="1" si="10"/>
        <v>0</v>
      </c>
      <c r="V54" s="225">
        <f t="shared" ca="1" si="11"/>
        <v>0</v>
      </c>
      <c r="W54" s="225">
        <f t="shared" ca="1" si="12"/>
        <v>0</v>
      </c>
      <c r="X54" s="225">
        <f t="shared" ca="1" si="13"/>
        <v>0</v>
      </c>
      <c r="Y54" s="225">
        <f t="shared" ca="1" si="14"/>
        <v>0</v>
      </c>
      <c r="Z54" s="225">
        <f t="shared" ca="1" si="15"/>
        <v>0</v>
      </c>
      <c r="AA54" s="225">
        <f t="shared" ca="1" si="16"/>
        <v>0</v>
      </c>
      <c r="AB54" s="225">
        <f t="shared" ca="1" si="17"/>
        <v>0</v>
      </c>
      <c r="AC54" s="225">
        <f t="shared" ca="1" si="18"/>
        <v>0</v>
      </c>
      <c r="AD54" s="225">
        <f t="shared" ca="1" si="19"/>
        <v>0</v>
      </c>
      <c r="AE54" s="225">
        <f t="shared" ca="1" si="20"/>
        <v>0</v>
      </c>
      <c r="AF54" s="225">
        <f t="shared" ca="1" si="21"/>
        <v>0</v>
      </c>
      <c r="AG54" s="225">
        <f t="shared" ca="1" si="22"/>
        <v>0</v>
      </c>
      <c r="AH54" s="225">
        <f t="shared" ca="1" si="23"/>
        <v>0</v>
      </c>
      <c r="AI54" s="225">
        <f t="shared" ca="1" si="24"/>
        <v>0</v>
      </c>
      <c r="AJ54" s="225">
        <f t="shared" ca="1" si="25"/>
        <v>0</v>
      </c>
      <c r="AK54" s="225">
        <f t="shared" ca="1" si="26"/>
        <v>0</v>
      </c>
      <c r="AL54" s="225">
        <f t="shared" ca="1" si="27"/>
        <v>0</v>
      </c>
      <c r="AM54" s="225">
        <f t="shared" ca="1" si="28"/>
        <v>0</v>
      </c>
      <c r="AN54" s="225">
        <f t="shared" ca="1" si="29"/>
        <v>0</v>
      </c>
      <c r="AO54" s="225">
        <f t="shared" ca="1" si="30"/>
        <v>0</v>
      </c>
      <c r="AP54" s="225">
        <f t="shared" ca="1" si="31"/>
        <v>114966.13019820231</v>
      </c>
    </row>
    <row r="55" spans="1:77">
      <c r="K55" s="22">
        <v>28</v>
      </c>
      <c r="L55" s="225">
        <f t="shared" ca="1" si="1"/>
        <v>5750.9822052390973</v>
      </c>
      <c r="M55" s="225">
        <f t="shared" ca="1" si="2"/>
        <v>12600.468009572593</v>
      </c>
      <c r="N55" s="225">
        <f t="shared" ca="1" si="3"/>
        <v>13984.366850514218</v>
      </c>
      <c r="O55" s="225">
        <f t="shared" ca="1" si="4"/>
        <v>14567.048802618978</v>
      </c>
      <c r="P55" s="225">
        <f t="shared" ca="1" si="5"/>
        <v>15174.009169394769</v>
      </c>
      <c r="Q55" s="225">
        <f t="shared" ca="1" si="6"/>
        <v>15806.259551452884</v>
      </c>
      <c r="R55" s="225">
        <f t="shared" ca="1" si="7"/>
        <v>16464.853699430088</v>
      </c>
      <c r="S55" s="225">
        <f t="shared" ca="1" si="8"/>
        <v>8849.5054511799281</v>
      </c>
      <c r="T55" s="225">
        <f t="shared" ca="1" si="9"/>
        <v>0</v>
      </c>
      <c r="U55" s="225">
        <f t="shared" ca="1" si="10"/>
        <v>0</v>
      </c>
      <c r="V55" s="225">
        <f t="shared" ca="1" si="11"/>
        <v>0</v>
      </c>
      <c r="W55" s="225">
        <f t="shared" ca="1" si="12"/>
        <v>0</v>
      </c>
      <c r="X55" s="225">
        <f t="shared" ca="1" si="13"/>
        <v>0</v>
      </c>
      <c r="Y55" s="225">
        <f t="shared" ca="1" si="14"/>
        <v>0</v>
      </c>
      <c r="Z55" s="225">
        <f t="shared" ca="1" si="15"/>
        <v>0</v>
      </c>
      <c r="AA55" s="225">
        <f t="shared" ca="1" si="16"/>
        <v>0</v>
      </c>
      <c r="AB55" s="225">
        <f t="shared" ca="1" si="17"/>
        <v>0</v>
      </c>
      <c r="AC55" s="225">
        <f t="shared" ca="1" si="18"/>
        <v>0</v>
      </c>
      <c r="AD55" s="225">
        <f t="shared" ca="1" si="19"/>
        <v>0</v>
      </c>
      <c r="AE55" s="225">
        <f t="shared" ca="1" si="20"/>
        <v>0</v>
      </c>
      <c r="AF55" s="225">
        <f t="shared" ca="1" si="21"/>
        <v>0</v>
      </c>
      <c r="AG55" s="225">
        <f t="shared" ca="1" si="22"/>
        <v>0</v>
      </c>
      <c r="AH55" s="225">
        <f t="shared" ca="1" si="23"/>
        <v>0</v>
      </c>
      <c r="AI55" s="225">
        <f t="shared" ca="1" si="24"/>
        <v>0</v>
      </c>
      <c r="AJ55" s="225">
        <f t="shared" ca="1" si="25"/>
        <v>0</v>
      </c>
      <c r="AK55" s="225">
        <f t="shared" ca="1" si="26"/>
        <v>0</v>
      </c>
      <c r="AL55" s="225">
        <f t="shared" ca="1" si="27"/>
        <v>0</v>
      </c>
      <c r="AM55" s="225">
        <f t="shared" ca="1" si="28"/>
        <v>0</v>
      </c>
      <c r="AN55" s="225">
        <f t="shared" ca="1" si="29"/>
        <v>0</v>
      </c>
      <c r="AO55" s="225">
        <f t="shared" ca="1" si="30"/>
        <v>0</v>
      </c>
      <c r="AP55" s="225">
        <f t="shared" ca="1" si="31"/>
        <v>103197.49373940256</v>
      </c>
    </row>
    <row r="56" spans="1:77">
      <c r="K56" s="22">
        <v>29</v>
      </c>
      <c r="L56" s="225">
        <f t="shared" ca="1" si="1"/>
        <v>0</v>
      </c>
      <c r="M56" s="225">
        <f t="shared" ca="1" si="2"/>
        <v>5750.9822052390973</v>
      </c>
      <c r="N56" s="225">
        <f t="shared" ca="1" si="3"/>
        <v>12600.468009572593</v>
      </c>
      <c r="O56" s="225">
        <f t="shared" ca="1" si="4"/>
        <v>13984.366850514218</v>
      </c>
      <c r="P56" s="225">
        <f t="shared" ca="1" si="5"/>
        <v>14567.048802618978</v>
      </c>
      <c r="Q56" s="225">
        <f t="shared" ca="1" si="6"/>
        <v>15174.009169394769</v>
      </c>
      <c r="R56" s="225">
        <f t="shared" ca="1" si="7"/>
        <v>15806.259551452884</v>
      </c>
      <c r="S56" s="225">
        <f t="shared" ca="1" si="8"/>
        <v>8495.5252331327283</v>
      </c>
      <c r="T56" s="225">
        <f t="shared" ca="1" si="9"/>
        <v>0</v>
      </c>
      <c r="U56" s="225">
        <f t="shared" ca="1" si="10"/>
        <v>0</v>
      </c>
      <c r="V56" s="225">
        <f t="shared" ca="1" si="11"/>
        <v>0</v>
      </c>
      <c r="W56" s="225">
        <f t="shared" ca="1" si="12"/>
        <v>0</v>
      </c>
      <c r="X56" s="225">
        <f t="shared" ca="1" si="13"/>
        <v>0</v>
      </c>
      <c r="Y56" s="225">
        <f t="shared" ca="1" si="14"/>
        <v>0</v>
      </c>
      <c r="Z56" s="225">
        <f t="shared" ca="1" si="15"/>
        <v>0</v>
      </c>
      <c r="AA56" s="225">
        <f t="shared" ca="1" si="16"/>
        <v>0</v>
      </c>
      <c r="AB56" s="225">
        <f t="shared" ca="1" si="17"/>
        <v>0</v>
      </c>
      <c r="AC56" s="225">
        <f t="shared" ca="1" si="18"/>
        <v>0</v>
      </c>
      <c r="AD56" s="225">
        <f t="shared" ca="1" si="19"/>
        <v>0</v>
      </c>
      <c r="AE56" s="225">
        <f t="shared" ca="1" si="20"/>
        <v>0</v>
      </c>
      <c r="AF56" s="225">
        <f t="shared" ca="1" si="21"/>
        <v>0</v>
      </c>
      <c r="AG56" s="225">
        <f t="shared" ca="1" si="22"/>
        <v>0</v>
      </c>
      <c r="AH56" s="225">
        <f t="shared" ca="1" si="23"/>
        <v>0</v>
      </c>
      <c r="AI56" s="225">
        <f t="shared" ca="1" si="24"/>
        <v>0</v>
      </c>
      <c r="AJ56" s="225">
        <f t="shared" ca="1" si="25"/>
        <v>0</v>
      </c>
      <c r="AK56" s="225">
        <f t="shared" ca="1" si="26"/>
        <v>0</v>
      </c>
      <c r="AL56" s="225">
        <f t="shared" ca="1" si="27"/>
        <v>0</v>
      </c>
      <c r="AM56" s="225">
        <f t="shared" ca="1" si="28"/>
        <v>0</v>
      </c>
      <c r="AN56" s="225">
        <f t="shared" ca="1" si="29"/>
        <v>0</v>
      </c>
      <c r="AO56" s="225">
        <f t="shared" ca="1" si="30"/>
        <v>0</v>
      </c>
      <c r="AP56" s="225">
        <f t="shared" ca="1" si="31"/>
        <v>86378.659821925277</v>
      </c>
    </row>
    <row r="57" spans="1:77">
      <c r="K57" s="22">
        <v>30</v>
      </c>
      <c r="L57" s="225">
        <f t="shared" ca="1" si="1"/>
        <v>0</v>
      </c>
      <c r="M57" s="225">
        <f t="shared" ca="1" si="2"/>
        <v>0</v>
      </c>
      <c r="N57" s="225">
        <f t="shared" ca="1" si="3"/>
        <v>5750.9822052390973</v>
      </c>
      <c r="O57" s="225">
        <f t="shared" ca="1" si="4"/>
        <v>12600.468009572593</v>
      </c>
      <c r="P57" s="225">
        <f t="shared" ca="1" si="5"/>
        <v>13984.366850514218</v>
      </c>
      <c r="Q57" s="225">
        <f t="shared" ca="1" si="6"/>
        <v>14567.048802618978</v>
      </c>
      <c r="R57" s="225">
        <f t="shared" ca="1" si="7"/>
        <v>15174.009169394769</v>
      </c>
      <c r="S57" s="225">
        <f t="shared" ca="1" si="8"/>
        <v>8155.7042238074191</v>
      </c>
      <c r="T57" s="225">
        <f t="shared" ca="1" si="9"/>
        <v>0</v>
      </c>
      <c r="U57" s="225">
        <f t="shared" ca="1" si="10"/>
        <v>0</v>
      </c>
      <c r="V57" s="225">
        <f t="shared" ca="1" si="11"/>
        <v>0</v>
      </c>
      <c r="W57" s="225">
        <f t="shared" ca="1" si="12"/>
        <v>0</v>
      </c>
      <c r="X57" s="225">
        <f t="shared" ca="1" si="13"/>
        <v>0</v>
      </c>
      <c r="Y57" s="225">
        <f t="shared" ca="1" si="14"/>
        <v>0</v>
      </c>
      <c r="Z57" s="225">
        <f t="shared" ca="1" si="15"/>
        <v>0</v>
      </c>
      <c r="AA57" s="225">
        <f t="shared" ca="1" si="16"/>
        <v>0</v>
      </c>
      <c r="AB57" s="225">
        <f t="shared" ca="1" si="17"/>
        <v>0</v>
      </c>
      <c r="AC57" s="225">
        <f t="shared" ca="1" si="18"/>
        <v>0</v>
      </c>
      <c r="AD57" s="225">
        <f t="shared" ca="1" si="19"/>
        <v>0</v>
      </c>
      <c r="AE57" s="225">
        <f t="shared" ca="1" si="20"/>
        <v>0</v>
      </c>
      <c r="AF57" s="225">
        <f t="shared" ca="1" si="21"/>
        <v>0</v>
      </c>
      <c r="AG57" s="225">
        <f t="shared" ca="1" si="22"/>
        <v>0</v>
      </c>
      <c r="AH57" s="225">
        <f t="shared" ca="1" si="23"/>
        <v>0</v>
      </c>
      <c r="AI57" s="225">
        <f t="shared" ca="1" si="24"/>
        <v>0</v>
      </c>
      <c r="AJ57" s="225">
        <f t="shared" ca="1" si="25"/>
        <v>0</v>
      </c>
      <c r="AK57" s="225">
        <f t="shared" ca="1" si="26"/>
        <v>0</v>
      </c>
      <c r="AL57" s="225">
        <f t="shared" ca="1" si="27"/>
        <v>0</v>
      </c>
      <c r="AM57" s="225">
        <f t="shared" ca="1" si="28"/>
        <v>0</v>
      </c>
      <c r="AN57" s="225">
        <f t="shared" ca="1" si="29"/>
        <v>0</v>
      </c>
      <c r="AO57" s="225">
        <f t="shared" ca="1" si="30"/>
        <v>0</v>
      </c>
      <c r="AP57" s="225">
        <f t="shared" ca="1" si="31"/>
        <v>70232.579261147068</v>
      </c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5"/>
      <c r="BV57" s="225"/>
    </row>
    <row r="58" spans="1:77">
      <c r="K58" s="22">
        <v>31</v>
      </c>
      <c r="L58" s="225">
        <f t="shared" ca="1" si="1"/>
        <v>0</v>
      </c>
      <c r="M58" s="225">
        <f t="shared" ca="1" si="2"/>
        <v>0</v>
      </c>
      <c r="N58" s="225">
        <f t="shared" ca="1" si="3"/>
        <v>0</v>
      </c>
      <c r="O58" s="225">
        <f t="shared" ca="1" si="4"/>
        <v>5750.9822052390973</v>
      </c>
      <c r="P58" s="225">
        <f t="shared" ca="1" si="5"/>
        <v>12600.468009572593</v>
      </c>
      <c r="Q58" s="225">
        <f t="shared" ca="1" si="6"/>
        <v>13984.366850514218</v>
      </c>
      <c r="R58" s="225">
        <f t="shared" ca="1" si="7"/>
        <v>14567.048802618978</v>
      </c>
      <c r="S58" s="225">
        <f t="shared" ca="1" si="8"/>
        <v>7829.476054855123</v>
      </c>
      <c r="T58" s="225">
        <f t="shared" ca="1" si="9"/>
        <v>0</v>
      </c>
      <c r="U58" s="225">
        <f t="shared" ca="1" si="10"/>
        <v>0</v>
      </c>
      <c r="V58" s="225">
        <f t="shared" ca="1" si="11"/>
        <v>0</v>
      </c>
      <c r="W58" s="225">
        <f t="shared" ca="1" si="12"/>
        <v>0</v>
      </c>
      <c r="X58" s="225">
        <f t="shared" ca="1" si="13"/>
        <v>0</v>
      </c>
      <c r="Y58" s="225">
        <f t="shared" ca="1" si="14"/>
        <v>0</v>
      </c>
      <c r="Z58" s="225">
        <f t="shared" ca="1" si="15"/>
        <v>0</v>
      </c>
      <c r="AA58" s="225">
        <f t="shared" ca="1" si="16"/>
        <v>0</v>
      </c>
      <c r="AB58" s="225">
        <f t="shared" ca="1" si="17"/>
        <v>0</v>
      </c>
      <c r="AC58" s="225">
        <f t="shared" ca="1" si="18"/>
        <v>0</v>
      </c>
      <c r="AD58" s="225">
        <f t="shared" ca="1" si="19"/>
        <v>0</v>
      </c>
      <c r="AE58" s="225">
        <f t="shared" ca="1" si="20"/>
        <v>0</v>
      </c>
      <c r="AF58" s="225">
        <f t="shared" ca="1" si="21"/>
        <v>0</v>
      </c>
      <c r="AG58" s="225">
        <f t="shared" ca="1" si="22"/>
        <v>0</v>
      </c>
      <c r="AH58" s="225">
        <f t="shared" ca="1" si="23"/>
        <v>0</v>
      </c>
      <c r="AI58" s="225">
        <f t="shared" ca="1" si="24"/>
        <v>0</v>
      </c>
      <c r="AJ58" s="225">
        <f t="shared" ca="1" si="25"/>
        <v>0</v>
      </c>
      <c r="AK58" s="225">
        <f t="shared" ca="1" si="26"/>
        <v>0</v>
      </c>
      <c r="AL58" s="225">
        <f t="shared" ca="1" si="27"/>
        <v>0</v>
      </c>
      <c r="AM58" s="225">
        <f t="shared" ca="1" si="28"/>
        <v>0</v>
      </c>
      <c r="AN58" s="225">
        <f t="shared" ca="1" si="29"/>
        <v>0</v>
      </c>
      <c r="AO58" s="225">
        <f t="shared" ca="1" si="30"/>
        <v>0</v>
      </c>
      <c r="AP58" s="225">
        <f t="shared" ca="1" si="31"/>
        <v>54732.341922800006</v>
      </c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</row>
    <row r="59" spans="1:77" s="28" customForma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>
        <v>32</v>
      </c>
      <c r="L59" s="225">
        <f t="shared" ref="L59:V59" ca="1" si="32">IF($K60&lt;L$22,0,AVERAGE(OFFSET($I$16,,$K60-L$22+3)*L$23,OFFSET($I$16,0,$K60-L$22+2)*L$23))</f>
        <v>0</v>
      </c>
      <c r="M59" s="225">
        <f t="shared" ca="1" si="32"/>
        <v>0</v>
      </c>
      <c r="N59" s="225">
        <f t="shared" ca="1" si="32"/>
        <v>0</v>
      </c>
      <c r="O59" s="225">
        <f t="shared" ca="1" si="32"/>
        <v>0</v>
      </c>
      <c r="P59" s="225">
        <f t="shared" ca="1" si="32"/>
        <v>5750.9822052390973</v>
      </c>
      <c r="Q59" s="225">
        <f t="shared" ca="1" si="32"/>
        <v>12600.468009572593</v>
      </c>
      <c r="R59" s="225">
        <f t="shared" ca="1" si="32"/>
        <v>13984.366850514218</v>
      </c>
      <c r="S59" s="225">
        <f t="shared" ca="1" si="32"/>
        <v>7516.297012660918</v>
      </c>
      <c r="T59" s="225">
        <f t="shared" ca="1" si="32"/>
        <v>0</v>
      </c>
      <c r="U59" s="225">
        <f t="shared" ca="1" si="32"/>
        <v>0</v>
      </c>
      <c r="V59" s="225">
        <f t="shared" ca="1" si="32"/>
        <v>0</v>
      </c>
      <c r="W59" s="225">
        <f t="shared" ref="W59" ca="1" si="33">IF($F60&lt;W$22,0,AVERAGE(OFFSET($I$16,,$F60-W$22+3)*W$23,OFFSET($I$16,0,$F60-W$22+2)*W$23))</f>
        <v>0</v>
      </c>
      <c r="X59" s="225">
        <f t="shared" ref="X59" ca="1" si="34">IF($F60&lt;X$22,0,AVERAGE(OFFSET($I$16,,$F60-X$22+3)*X$23,OFFSET($I$16,0,$F60-X$22+2)*X$23))</f>
        <v>0</v>
      </c>
      <c r="Y59" s="225">
        <f t="shared" ref="Y59" ca="1" si="35">IF($F60&lt;Y$22,0,AVERAGE(OFFSET($I$16,,$F60-Y$22+3)*Y$23,OFFSET($I$16,0,$F60-Y$22+2)*Y$23))</f>
        <v>0</v>
      </c>
      <c r="Z59" s="225">
        <f t="shared" ref="Z59" ca="1" si="36">IF($F60&lt;Z$22,0,AVERAGE(OFFSET($I$16,,$F60-Z$22+3)*Z$23,OFFSET($I$16,0,$F60-Z$22+2)*Z$23))</f>
        <v>0</v>
      </c>
      <c r="AA59" s="225">
        <f t="shared" ref="AA59" ca="1" si="37">IF($F60&lt;AA$22,0,AVERAGE(OFFSET($I$16,,$F60-AA$22+3)*AA$23,OFFSET($I$16,0,$F60-AA$22+2)*AA$23))</f>
        <v>0</v>
      </c>
      <c r="AB59" s="225">
        <f t="shared" ref="AB59" ca="1" si="38">IF($F60&lt;AB$22,0,AVERAGE(OFFSET($I$16,,$F60-AB$22+3)*AB$23,OFFSET($I$16,0,$F60-AB$22+2)*AB$23))</f>
        <v>0</v>
      </c>
      <c r="AC59" s="225">
        <f t="shared" ref="AC59" ca="1" si="39">IF($F60&lt;AC$22,0,AVERAGE(OFFSET($I$16,,$F60-AC$22+3)*AC$23,OFFSET($I$16,0,$F60-AC$22+2)*AC$23))</f>
        <v>0</v>
      </c>
      <c r="AD59" s="225">
        <f t="shared" ref="AD59" ca="1" si="40">IF($F60&lt;AD$22,0,AVERAGE(OFFSET($I$16,,$F60-AD$22+3)*AD$23,OFFSET($I$16,0,$F60-AD$22+2)*AD$23))</f>
        <v>0</v>
      </c>
      <c r="AE59" s="225">
        <f t="shared" ref="AE59" ca="1" si="41">IF($F60&lt;AE$22,0,AVERAGE(OFFSET($I$16,,$F60-AE$22+3)*AE$23,OFFSET($I$16,0,$F60-AE$22+2)*AE$23))</f>
        <v>0</v>
      </c>
      <c r="AF59" s="225">
        <f t="shared" ref="AF59" ca="1" si="42">IF($F60&lt;AF$22,0,AVERAGE(OFFSET($I$16,,$F60-AF$22+3)*AF$23,OFFSET($I$16,0,$F60-AF$22+2)*AF$23))</f>
        <v>0</v>
      </c>
      <c r="AG59" s="225">
        <f t="shared" ref="AG59" ca="1" si="43">IF($F60&lt;AG$22,0,AVERAGE(OFFSET($I$16,,$F60-AG$22+3)*AG$23,OFFSET($I$16,0,$F60-AG$22+2)*AG$23))</f>
        <v>0</v>
      </c>
      <c r="AH59" s="225">
        <f t="shared" ref="AH59" ca="1" si="44">IF($F60&lt;AH$22,0,AVERAGE(OFFSET($I$16,,$F60-AH$22+3)*AH$23,OFFSET($I$16,0,$F60-AH$22+2)*AH$23))</f>
        <v>0</v>
      </c>
      <c r="AI59" s="225">
        <f t="shared" ref="AI59" ca="1" si="45">IF($F60&lt;AI$22,0,AVERAGE(OFFSET($I$16,,$F60-AI$22+3)*AI$23,OFFSET($I$16,0,$F60-AI$22+2)*AI$23))</f>
        <v>0</v>
      </c>
      <c r="AJ59" s="225">
        <f t="shared" ref="AJ59" ca="1" si="46">IF($F60&lt;AJ$22,0,AVERAGE(OFFSET($I$16,,$F60-AJ$22+3)*AJ$23,OFFSET($I$16,0,$F60-AJ$22+2)*AJ$23))</f>
        <v>0</v>
      </c>
      <c r="AK59" s="225">
        <f t="shared" ref="AK59" ca="1" si="47">IF($F60&lt;AK$22,0,AVERAGE(OFFSET($I$16,,$F60-AK$22+3)*AK$23,OFFSET($I$16,0,$F60-AK$22+2)*AK$23))</f>
        <v>0</v>
      </c>
      <c r="AL59" s="225">
        <f t="shared" ref="AL59" ca="1" si="48">IF($F60&lt;AL$22,0,AVERAGE(OFFSET($I$16,,$F60-AL$22+3)*AL$23,OFFSET($I$16,0,$F60-AL$22+2)*AL$23))</f>
        <v>0</v>
      </c>
      <c r="AM59" s="225">
        <f t="shared" ref="AM59" ca="1" si="49">IF($F60&lt;AM$22,0,AVERAGE(OFFSET($I$16,,$F60-AM$22+3)*AM$23,OFFSET($I$16,0,$F60-AM$22+2)*AM$23))</f>
        <v>0</v>
      </c>
      <c r="AN59" s="225">
        <f t="shared" ref="AN59" ca="1" si="50">IF($F60&lt;AN$22,0,AVERAGE(OFFSET($I$16,,$F60-AN$22+3)*AN$23,OFFSET($I$16,0,$F60-AN$22+2)*AN$23))</f>
        <v>0</v>
      </c>
      <c r="AO59" s="225">
        <f t="shared" ref="AO59" ca="1" si="51">IF($F60&lt;AO$22,0,AVERAGE(OFFSET($I$16,,$F60-AO$22+3)*AO$23,OFFSET($I$16,0,$F60-AO$22+2)*AO$23))</f>
        <v>0</v>
      </c>
      <c r="AP59" s="225">
        <f t="shared" ca="1" si="31"/>
        <v>39852.114077986829</v>
      </c>
      <c r="AQ59" s="225"/>
      <c r="AR59" s="225"/>
      <c r="AS59" s="225"/>
      <c r="AT59" s="225"/>
      <c r="AU59" s="225"/>
      <c r="AV59" s="225"/>
      <c r="AW59" s="225"/>
      <c r="AX59" s="225"/>
      <c r="AY59" s="225"/>
      <c r="AZ59" s="225"/>
      <c r="BA59" s="225"/>
      <c r="BB59" s="225"/>
      <c r="BC59" s="225"/>
      <c r="BD59" s="225"/>
      <c r="BE59" s="225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5"/>
      <c r="BS59" s="225"/>
      <c r="BT59" s="225"/>
      <c r="BU59" s="225"/>
      <c r="BV59" s="225"/>
      <c r="BW59" s="225"/>
      <c r="BX59" s="225"/>
      <c r="BY59" s="225"/>
    </row>
    <row r="60" spans="1:77">
      <c r="K60" s="22">
        <v>33</v>
      </c>
      <c r="L60" s="225">
        <f t="shared" ref="L60:L64" ca="1" si="52">IF($K61&lt;L$22,0,AVERAGE(OFFSET($I$16,,$K61-L$22+3)*L$23,OFFSET($I$16,0,$K61-L$22+2)*L$23))</f>
        <v>0</v>
      </c>
      <c r="M60" s="225">
        <f t="shared" ref="M60:M64" ca="1" si="53">IF($K61&lt;M$22,0,AVERAGE(OFFSET($I$16,,$K61-M$22+3)*M$23,OFFSET($I$16,0,$K61-M$22+2)*M$23))</f>
        <v>0</v>
      </c>
      <c r="N60" s="225">
        <f t="shared" ref="N60:N64" ca="1" si="54">IF($K61&lt;N$22,0,AVERAGE(OFFSET($I$16,,$K61-N$22+3)*N$23,OFFSET($I$16,0,$K61-N$22+2)*N$23))</f>
        <v>0</v>
      </c>
      <c r="O60" s="225">
        <f t="shared" ref="O60:O64" ca="1" si="55">IF($K61&lt;O$22,0,AVERAGE(OFFSET($I$16,,$K61-O$22+3)*O$23,OFFSET($I$16,0,$K61-O$22+2)*O$23))</f>
        <v>0</v>
      </c>
      <c r="P60" s="225">
        <f t="shared" ref="P60:P64" ca="1" si="56">IF($K61&lt;P$22,0,AVERAGE(OFFSET($I$16,,$K61-P$22+3)*P$23,OFFSET($I$16,0,$K61-P$22+2)*P$23))</f>
        <v>0</v>
      </c>
      <c r="Q60" s="225">
        <f t="shared" ref="Q60:Q64" ca="1" si="57">IF($K61&lt;Q$22,0,AVERAGE(OFFSET($I$16,,$K61-Q$22+3)*Q$23,OFFSET($I$16,0,$K61-Q$22+2)*Q$23))</f>
        <v>5750.9822052390973</v>
      </c>
      <c r="R60" s="225">
        <f t="shared" ref="R60:R64" ca="1" si="58">IF($K61&lt;R$22,0,AVERAGE(OFFSET($I$16,,$K61-R$22+3)*R$23,OFFSET($I$16,0,$K61-R$22+2)*R$23))</f>
        <v>12600.468009572593</v>
      </c>
      <c r="S60" s="225">
        <f t="shared" ref="S60:S64" ca="1" si="59">IF($K61&lt;S$22,0,AVERAGE(OFFSET($I$16,,$K61-S$22+3)*S$23,OFFSET($I$16,0,$K61-S$22+2)*S$23))</f>
        <v>7215.645132154481</v>
      </c>
      <c r="T60" s="225">
        <f t="shared" ref="T60:T64" ca="1" si="60">IF($K61&lt;T$22,0,AVERAGE(OFFSET($I$16,,$K61-T$22+3)*T$23,OFFSET($I$16,0,$K61-T$22+2)*T$23))</f>
        <v>0</v>
      </c>
      <c r="U60" s="225">
        <f t="shared" ref="U60:U64" ca="1" si="61">IF($K61&lt;U$22,0,AVERAGE(OFFSET($I$16,,$K61-U$22+3)*U$23,OFFSET($I$16,0,$K61-U$22+2)*U$23))</f>
        <v>0</v>
      </c>
      <c r="V60" s="225">
        <f t="shared" ref="V60:V64" ca="1" si="62">IF($K61&lt;V$22,0,AVERAGE(OFFSET($I$16,,$K61-V$22+3)*V$23,OFFSET($I$16,0,$K61-V$22+2)*V$23))</f>
        <v>0</v>
      </c>
      <c r="W60" s="225">
        <f t="shared" ref="W60:W64" ca="1" si="63">IF($F61&lt;W$22,0,AVERAGE(OFFSET($I$16,,$F61-W$22+3)*W$23,OFFSET($I$16,0,$F61-W$22+2)*W$23))</f>
        <v>0</v>
      </c>
      <c r="X60" s="225">
        <f t="shared" ref="X60:X64" ca="1" si="64">IF($F61&lt;X$22,0,AVERAGE(OFFSET($I$16,,$F61-X$22+3)*X$23,OFFSET($I$16,0,$F61-X$22+2)*X$23))</f>
        <v>0</v>
      </c>
      <c r="Y60" s="225">
        <f t="shared" ref="Y60:Y64" ca="1" si="65">IF($F61&lt;Y$22,0,AVERAGE(OFFSET($I$16,,$F61-Y$22+3)*Y$23,OFFSET($I$16,0,$F61-Y$22+2)*Y$23))</f>
        <v>0</v>
      </c>
      <c r="Z60" s="225">
        <f t="shared" ref="Z60:Z64" ca="1" si="66">IF($F61&lt;Z$22,0,AVERAGE(OFFSET($I$16,,$F61-Z$22+3)*Z$23,OFFSET($I$16,0,$F61-Z$22+2)*Z$23))</f>
        <v>0</v>
      </c>
      <c r="AA60" s="225">
        <f t="shared" ref="AA60:AA64" ca="1" si="67">IF($F61&lt;AA$22,0,AVERAGE(OFFSET($I$16,,$F61-AA$22+3)*AA$23,OFFSET($I$16,0,$F61-AA$22+2)*AA$23))</f>
        <v>0</v>
      </c>
      <c r="AB60" s="225">
        <f t="shared" ref="AB60:AB64" ca="1" si="68">IF($F61&lt;AB$22,0,AVERAGE(OFFSET($I$16,,$F61-AB$22+3)*AB$23,OFFSET($I$16,0,$F61-AB$22+2)*AB$23))</f>
        <v>0</v>
      </c>
      <c r="AC60" s="225">
        <f t="shared" ref="AC60:AC64" ca="1" si="69">IF($F61&lt;AC$22,0,AVERAGE(OFFSET($I$16,,$F61-AC$22+3)*AC$23,OFFSET($I$16,0,$F61-AC$22+2)*AC$23))</f>
        <v>0</v>
      </c>
      <c r="AD60" s="225">
        <f t="shared" ref="AD60:AD64" ca="1" si="70">IF($F61&lt;AD$22,0,AVERAGE(OFFSET($I$16,,$F61-AD$22+3)*AD$23,OFFSET($I$16,0,$F61-AD$22+2)*AD$23))</f>
        <v>0</v>
      </c>
      <c r="AE60" s="225">
        <f t="shared" ref="AE60:AE64" ca="1" si="71">IF($F61&lt;AE$22,0,AVERAGE(OFFSET($I$16,,$F61-AE$22+3)*AE$23,OFFSET($I$16,0,$F61-AE$22+2)*AE$23))</f>
        <v>0</v>
      </c>
      <c r="AF60" s="225">
        <f t="shared" ref="AF60:AF64" ca="1" si="72">IF($F61&lt;AF$22,0,AVERAGE(OFFSET($I$16,,$F61-AF$22+3)*AF$23,OFFSET($I$16,0,$F61-AF$22+2)*AF$23))</f>
        <v>0</v>
      </c>
      <c r="AG60" s="225">
        <f t="shared" ref="AG60:AG64" ca="1" si="73">IF($F61&lt;AG$22,0,AVERAGE(OFFSET($I$16,,$F61-AG$22+3)*AG$23,OFFSET($I$16,0,$F61-AG$22+2)*AG$23))</f>
        <v>0</v>
      </c>
      <c r="AH60" s="225">
        <f t="shared" ref="AH60:AH64" ca="1" si="74">IF($F61&lt;AH$22,0,AVERAGE(OFFSET($I$16,,$F61-AH$22+3)*AH$23,OFFSET($I$16,0,$F61-AH$22+2)*AH$23))</f>
        <v>0</v>
      </c>
      <c r="AI60" s="225">
        <f t="shared" ref="AI60:AI64" ca="1" si="75">IF($F61&lt;AI$22,0,AVERAGE(OFFSET($I$16,,$F61-AI$22+3)*AI$23,OFFSET($I$16,0,$F61-AI$22+2)*AI$23))</f>
        <v>0</v>
      </c>
      <c r="AJ60" s="225">
        <f t="shared" ref="AJ60:AJ64" ca="1" si="76">IF($F61&lt;AJ$22,0,AVERAGE(OFFSET($I$16,,$F61-AJ$22+3)*AJ$23,OFFSET($I$16,0,$F61-AJ$22+2)*AJ$23))</f>
        <v>0</v>
      </c>
      <c r="AK60" s="225">
        <f t="shared" ref="AK60:AK64" ca="1" si="77">IF($F61&lt;AK$22,0,AVERAGE(OFFSET($I$16,,$F61-AK$22+3)*AK$23,OFFSET($I$16,0,$F61-AK$22+2)*AK$23))</f>
        <v>0</v>
      </c>
      <c r="AL60" s="225">
        <f t="shared" ref="AL60:AL64" ca="1" si="78">IF($F61&lt;AL$22,0,AVERAGE(OFFSET($I$16,,$F61-AL$22+3)*AL$23,OFFSET($I$16,0,$F61-AL$22+2)*AL$23))</f>
        <v>0</v>
      </c>
      <c r="AM60" s="225">
        <f t="shared" ref="AM60:AM64" ca="1" si="79">IF($F61&lt;AM$22,0,AVERAGE(OFFSET($I$16,,$F61-AM$22+3)*AM$23,OFFSET($I$16,0,$F61-AM$22+2)*AM$23))</f>
        <v>0</v>
      </c>
      <c r="AN60" s="225">
        <f t="shared" ref="AN60:AN64" ca="1" si="80">IF($F61&lt;AN$22,0,AVERAGE(OFFSET($I$16,,$F61-AN$22+3)*AN$23,OFFSET($I$16,0,$F61-AN$22+2)*AN$23))</f>
        <v>0</v>
      </c>
      <c r="AO60" s="225">
        <f t="shared" ref="AO60:AO64" ca="1" si="81">IF($F61&lt;AO$22,0,AVERAGE(OFFSET($I$16,,$F61-AO$22+3)*AO$23,OFFSET($I$16,0,$F61-AO$22+2)*AO$23))</f>
        <v>0</v>
      </c>
      <c r="AP60" s="225">
        <f t="shared" ca="1" si="31"/>
        <v>25567.095346966169</v>
      </c>
      <c r="AQ60" s="225"/>
      <c r="AR60" s="225"/>
      <c r="AS60" s="225"/>
      <c r="AT60" s="225"/>
      <c r="AU60" s="225"/>
      <c r="AV60" s="225"/>
      <c r="AW60" s="225"/>
      <c r="AX60" s="225"/>
      <c r="AY60" s="225"/>
      <c r="AZ60" s="225"/>
      <c r="BA60" s="225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  <c r="BL60" s="225"/>
      <c r="BM60" s="225"/>
      <c r="BN60" s="225"/>
      <c r="BO60" s="225"/>
      <c r="BP60" s="225"/>
      <c r="BQ60" s="225"/>
      <c r="BR60" s="225"/>
      <c r="BS60" s="225"/>
      <c r="BT60" s="225"/>
      <c r="BU60" s="225"/>
      <c r="BV60" s="225"/>
      <c r="BW60" s="225"/>
      <c r="BX60" s="225"/>
      <c r="BY60" s="225"/>
    </row>
    <row r="61" spans="1:77">
      <c r="K61" s="22">
        <v>34</v>
      </c>
      <c r="L61" s="225">
        <f t="shared" ca="1" si="52"/>
        <v>0</v>
      </c>
      <c r="M61" s="225">
        <f t="shared" ca="1" si="53"/>
        <v>0</v>
      </c>
      <c r="N61" s="225">
        <f t="shared" ca="1" si="54"/>
        <v>0</v>
      </c>
      <c r="O61" s="225">
        <f t="shared" ca="1" si="55"/>
        <v>0</v>
      </c>
      <c r="P61" s="225">
        <f t="shared" ca="1" si="56"/>
        <v>0</v>
      </c>
      <c r="Q61" s="225">
        <f t="shared" ca="1" si="57"/>
        <v>0</v>
      </c>
      <c r="R61" s="225">
        <f t="shared" ca="1" si="58"/>
        <v>5750.9822052390973</v>
      </c>
      <c r="S61" s="225">
        <f t="shared" ca="1" si="59"/>
        <v>6501.5818469319911</v>
      </c>
      <c r="T61" s="225">
        <f t="shared" ca="1" si="60"/>
        <v>0</v>
      </c>
      <c r="U61" s="225">
        <f t="shared" ca="1" si="61"/>
        <v>0</v>
      </c>
      <c r="V61" s="225">
        <f t="shared" ca="1" si="62"/>
        <v>0</v>
      </c>
      <c r="W61" s="225">
        <f t="shared" ca="1" si="63"/>
        <v>0</v>
      </c>
      <c r="X61" s="225">
        <f t="shared" ca="1" si="64"/>
        <v>0</v>
      </c>
      <c r="Y61" s="225">
        <f t="shared" ca="1" si="65"/>
        <v>0</v>
      </c>
      <c r="Z61" s="225">
        <f t="shared" ca="1" si="66"/>
        <v>0</v>
      </c>
      <c r="AA61" s="225">
        <f t="shared" ca="1" si="67"/>
        <v>0</v>
      </c>
      <c r="AB61" s="225">
        <f t="shared" ca="1" si="68"/>
        <v>0</v>
      </c>
      <c r="AC61" s="225">
        <f t="shared" ca="1" si="69"/>
        <v>0</v>
      </c>
      <c r="AD61" s="225">
        <f t="shared" ca="1" si="70"/>
        <v>0</v>
      </c>
      <c r="AE61" s="225">
        <f t="shared" ca="1" si="71"/>
        <v>0</v>
      </c>
      <c r="AF61" s="225">
        <f t="shared" ca="1" si="72"/>
        <v>0</v>
      </c>
      <c r="AG61" s="225">
        <f t="shared" ca="1" si="73"/>
        <v>0</v>
      </c>
      <c r="AH61" s="225">
        <f t="shared" ca="1" si="74"/>
        <v>0</v>
      </c>
      <c r="AI61" s="225">
        <f t="shared" ca="1" si="75"/>
        <v>0</v>
      </c>
      <c r="AJ61" s="225">
        <f t="shared" ca="1" si="76"/>
        <v>0</v>
      </c>
      <c r="AK61" s="225">
        <f t="shared" ca="1" si="77"/>
        <v>0</v>
      </c>
      <c r="AL61" s="225">
        <f t="shared" ca="1" si="78"/>
        <v>0</v>
      </c>
      <c r="AM61" s="225">
        <f t="shared" ca="1" si="79"/>
        <v>0</v>
      </c>
      <c r="AN61" s="225">
        <f t="shared" ca="1" si="80"/>
        <v>0</v>
      </c>
      <c r="AO61" s="225">
        <f t="shared" ca="1" si="81"/>
        <v>0</v>
      </c>
      <c r="AP61" s="225">
        <f t="shared" ca="1" si="31"/>
        <v>12252.564052171088</v>
      </c>
      <c r="AQ61" s="225"/>
      <c r="AR61" s="225"/>
      <c r="AS61" s="225"/>
      <c r="AT61" s="225"/>
      <c r="AU61" s="225"/>
      <c r="AV61" s="225"/>
      <c r="AW61" s="225"/>
      <c r="AX61" s="225"/>
      <c r="AY61" s="225"/>
      <c r="AZ61" s="225"/>
      <c r="BA61" s="225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25"/>
      <c r="BN61" s="225"/>
      <c r="BO61" s="225"/>
      <c r="BP61" s="225"/>
      <c r="BQ61" s="225"/>
      <c r="BR61" s="225"/>
      <c r="BS61" s="225"/>
      <c r="BT61" s="225"/>
      <c r="BU61" s="225"/>
      <c r="BV61" s="225"/>
      <c r="BW61" s="225"/>
      <c r="BX61" s="225"/>
      <c r="BY61" s="225"/>
    </row>
    <row r="62" spans="1:77">
      <c r="K62" s="22">
        <v>35</v>
      </c>
      <c r="L62" s="225">
        <f t="shared" ca="1" si="52"/>
        <v>0</v>
      </c>
      <c r="M62" s="225">
        <f t="shared" ca="1" si="53"/>
        <v>0</v>
      </c>
      <c r="N62" s="225">
        <f t="shared" ca="1" si="54"/>
        <v>0</v>
      </c>
      <c r="O62" s="225">
        <f t="shared" ca="1" si="55"/>
        <v>0</v>
      </c>
      <c r="P62" s="225">
        <f t="shared" ca="1" si="56"/>
        <v>0</v>
      </c>
      <c r="Q62" s="225">
        <f t="shared" ca="1" si="57"/>
        <v>0</v>
      </c>
      <c r="R62" s="225">
        <f t="shared" ca="1" si="58"/>
        <v>0</v>
      </c>
      <c r="S62" s="225">
        <f t="shared" ca="1" si="59"/>
        <v>2967.3883128155103</v>
      </c>
      <c r="T62" s="225">
        <f t="shared" ca="1" si="60"/>
        <v>0</v>
      </c>
      <c r="U62" s="225">
        <f t="shared" ca="1" si="61"/>
        <v>0</v>
      </c>
      <c r="V62" s="225">
        <f t="shared" ca="1" si="62"/>
        <v>0</v>
      </c>
      <c r="W62" s="225">
        <f t="shared" ca="1" si="63"/>
        <v>0</v>
      </c>
      <c r="X62" s="225">
        <f t="shared" ca="1" si="64"/>
        <v>0</v>
      </c>
      <c r="Y62" s="225">
        <f t="shared" ca="1" si="65"/>
        <v>0</v>
      </c>
      <c r="Z62" s="225">
        <f t="shared" ca="1" si="66"/>
        <v>0</v>
      </c>
      <c r="AA62" s="225">
        <f t="shared" ca="1" si="67"/>
        <v>0</v>
      </c>
      <c r="AB62" s="225">
        <f t="shared" ca="1" si="68"/>
        <v>0</v>
      </c>
      <c r="AC62" s="225">
        <f t="shared" ca="1" si="69"/>
        <v>0</v>
      </c>
      <c r="AD62" s="225">
        <f t="shared" ca="1" si="70"/>
        <v>0</v>
      </c>
      <c r="AE62" s="225">
        <f t="shared" ca="1" si="71"/>
        <v>0</v>
      </c>
      <c r="AF62" s="225">
        <f t="shared" ca="1" si="72"/>
        <v>0</v>
      </c>
      <c r="AG62" s="225">
        <f t="shared" ca="1" si="73"/>
        <v>0</v>
      </c>
      <c r="AH62" s="225">
        <f t="shared" ca="1" si="74"/>
        <v>0</v>
      </c>
      <c r="AI62" s="225">
        <f t="shared" ca="1" si="75"/>
        <v>0</v>
      </c>
      <c r="AJ62" s="225">
        <f t="shared" ca="1" si="76"/>
        <v>0</v>
      </c>
      <c r="AK62" s="225">
        <f t="shared" ca="1" si="77"/>
        <v>0</v>
      </c>
      <c r="AL62" s="225">
        <f t="shared" ca="1" si="78"/>
        <v>0</v>
      </c>
      <c r="AM62" s="225">
        <f t="shared" ca="1" si="79"/>
        <v>0</v>
      </c>
      <c r="AN62" s="225">
        <f t="shared" ca="1" si="80"/>
        <v>0</v>
      </c>
      <c r="AO62" s="225">
        <f t="shared" ca="1" si="81"/>
        <v>0</v>
      </c>
      <c r="AP62" s="225">
        <f t="shared" ca="1" si="31"/>
        <v>2967.3883128155103</v>
      </c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  <c r="BX62" s="225"/>
      <c r="BY62" s="225"/>
    </row>
    <row r="63" spans="1:77">
      <c r="K63" s="22">
        <v>36</v>
      </c>
      <c r="L63" s="225">
        <f t="shared" ref="L63:V63" ca="1" si="82">IF($K64&lt;L$22,0,AVERAGE(OFFSET($I$16,,$K64-L$22+3)*L$23,OFFSET($I$16,0,$K64-L$22+2)*L$23))</f>
        <v>0</v>
      </c>
      <c r="M63" s="225">
        <f t="shared" ca="1" si="82"/>
        <v>0</v>
      </c>
      <c r="N63" s="225">
        <f t="shared" ca="1" si="82"/>
        <v>0</v>
      </c>
      <c r="O63" s="225">
        <f t="shared" ca="1" si="82"/>
        <v>0</v>
      </c>
      <c r="P63" s="225">
        <f t="shared" ca="1" si="82"/>
        <v>0</v>
      </c>
      <c r="Q63" s="225">
        <f t="shared" ca="1" si="82"/>
        <v>0</v>
      </c>
      <c r="R63" s="225">
        <f t="shared" ca="1" si="82"/>
        <v>0</v>
      </c>
      <c r="S63" s="225">
        <f t="shared" ca="1" si="82"/>
        <v>0</v>
      </c>
      <c r="T63" s="225">
        <f t="shared" ca="1" si="82"/>
        <v>0</v>
      </c>
      <c r="U63" s="225">
        <f t="shared" ca="1" si="82"/>
        <v>0</v>
      </c>
      <c r="V63" s="225">
        <f t="shared" ca="1" si="82"/>
        <v>0</v>
      </c>
      <c r="W63" s="225">
        <f t="shared" ref="W63:AO63" ca="1" si="83">IF($F64&lt;W$22,0,AVERAGE(OFFSET($I$16,,$F64-W$22+3)*W$23,OFFSET($I$16,0,$F64-W$22+2)*W$23))</f>
        <v>0</v>
      </c>
      <c r="X63" s="225">
        <f t="shared" ca="1" si="83"/>
        <v>0</v>
      </c>
      <c r="Y63" s="225">
        <f t="shared" ca="1" si="83"/>
        <v>0</v>
      </c>
      <c r="Z63" s="225">
        <f t="shared" ca="1" si="83"/>
        <v>0</v>
      </c>
      <c r="AA63" s="225">
        <f t="shared" ca="1" si="83"/>
        <v>0</v>
      </c>
      <c r="AB63" s="225">
        <f t="shared" ca="1" si="83"/>
        <v>0</v>
      </c>
      <c r="AC63" s="225">
        <f t="shared" ca="1" si="83"/>
        <v>0</v>
      </c>
      <c r="AD63" s="225">
        <f t="shared" ca="1" si="83"/>
        <v>0</v>
      </c>
      <c r="AE63" s="225">
        <f t="shared" ca="1" si="83"/>
        <v>0</v>
      </c>
      <c r="AF63" s="225">
        <f t="shared" ca="1" si="83"/>
        <v>0</v>
      </c>
      <c r="AG63" s="225">
        <f t="shared" ca="1" si="83"/>
        <v>0</v>
      </c>
      <c r="AH63" s="225">
        <f t="shared" ca="1" si="83"/>
        <v>0</v>
      </c>
      <c r="AI63" s="225">
        <f t="shared" ca="1" si="83"/>
        <v>0</v>
      </c>
      <c r="AJ63" s="225">
        <f t="shared" ca="1" si="83"/>
        <v>0</v>
      </c>
      <c r="AK63" s="225">
        <f t="shared" ca="1" si="83"/>
        <v>0</v>
      </c>
      <c r="AL63" s="225">
        <f t="shared" ca="1" si="83"/>
        <v>0</v>
      </c>
      <c r="AM63" s="225">
        <f t="shared" ca="1" si="83"/>
        <v>0</v>
      </c>
      <c r="AN63" s="225">
        <f t="shared" ca="1" si="83"/>
        <v>0</v>
      </c>
      <c r="AO63" s="225">
        <f t="shared" ca="1" si="83"/>
        <v>0</v>
      </c>
      <c r="AP63" s="225">
        <f t="shared" ca="1" si="31"/>
        <v>0</v>
      </c>
      <c r="AQ63" s="225"/>
      <c r="AR63" s="225"/>
      <c r="AS63" s="225"/>
      <c r="AT63" s="225"/>
      <c r="AU63" s="225"/>
      <c r="AV63" s="225"/>
      <c r="AW63" s="225"/>
      <c r="AX63" s="225"/>
      <c r="AY63" s="225"/>
      <c r="AZ63" s="225"/>
      <c r="BA63" s="225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/>
      <c r="BM63" s="225"/>
      <c r="BN63" s="225"/>
      <c r="BO63" s="225"/>
      <c r="BP63" s="225"/>
      <c r="BQ63" s="225"/>
      <c r="BR63" s="225"/>
      <c r="BS63" s="225"/>
      <c r="BT63" s="225"/>
      <c r="BU63" s="225"/>
      <c r="BV63" s="225"/>
      <c r="BW63" s="225"/>
      <c r="BX63" s="225"/>
      <c r="BY63" s="225"/>
    </row>
    <row r="64" spans="1:77">
      <c r="K64" s="22">
        <v>37</v>
      </c>
      <c r="L64" s="225">
        <f t="shared" ca="1" si="52"/>
        <v>0</v>
      </c>
      <c r="M64" s="225">
        <f t="shared" ca="1" si="53"/>
        <v>0</v>
      </c>
      <c r="N64" s="225">
        <f t="shared" ca="1" si="54"/>
        <v>0</v>
      </c>
      <c r="O64" s="225">
        <f t="shared" ca="1" si="55"/>
        <v>0</v>
      </c>
      <c r="P64" s="225">
        <f t="shared" ca="1" si="56"/>
        <v>0</v>
      </c>
      <c r="Q64" s="225">
        <f t="shared" ca="1" si="57"/>
        <v>0</v>
      </c>
      <c r="R64" s="225">
        <f t="shared" ca="1" si="58"/>
        <v>0</v>
      </c>
      <c r="S64" s="225">
        <f t="shared" ca="1" si="59"/>
        <v>0</v>
      </c>
      <c r="T64" s="225">
        <f t="shared" ca="1" si="60"/>
        <v>0</v>
      </c>
      <c r="U64" s="225">
        <f t="shared" ca="1" si="61"/>
        <v>0</v>
      </c>
      <c r="V64" s="225">
        <f t="shared" ca="1" si="62"/>
        <v>0</v>
      </c>
      <c r="W64" s="225">
        <f t="shared" ca="1" si="63"/>
        <v>0</v>
      </c>
      <c r="X64" s="225">
        <f t="shared" ca="1" si="64"/>
        <v>0</v>
      </c>
      <c r="Y64" s="225">
        <f t="shared" ca="1" si="65"/>
        <v>0</v>
      </c>
      <c r="Z64" s="225">
        <f t="shared" ca="1" si="66"/>
        <v>0</v>
      </c>
      <c r="AA64" s="225">
        <f t="shared" ca="1" si="67"/>
        <v>0</v>
      </c>
      <c r="AB64" s="225">
        <f t="shared" ca="1" si="68"/>
        <v>0</v>
      </c>
      <c r="AC64" s="225">
        <f t="shared" ca="1" si="69"/>
        <v>0</v>
      </c>
      <c r="AD64" s="225">
        <f t="shared" ca="1" si="70"/>
        <v>0</v>
      </c>
      <c r="AE64" s="225">
        <f t="shared" ca="1" si="71"/>
        <v>0</v>
      </c>
      <c r="AF64" s="225">
        <f t="shared" ca="1" si="72"/>
        <v>0</v>
      </c>
      <c r="AG64" s="225">
        <f t="shared" ca="1" si="73"/>
        <v>0</v>
      </c>
      <c r="AH64" s="225">
        <f t="shared" ca="1" si="74"/>
        <v>0</v>
      </c>
      <c r="AI64" s="225">
        <f t="shared" ca="1" si="75"/>
        <v>0</v>
      </c>
      <c r="AJ64" s="225">
        <f t="shared" ca="1" si="76"/>
        <v>0</v>
      </c>
      <c r="AK64" s="225">
        <f t="shared" ca="1" si="77"/>
        <v>0</v>
      </c>
      <c r="AL64" s="225">
        <f t="shared" ca="1" si="78"/>
        <v>0</v>
      </c>
      <c r="AM64" s="225">
        <f t="shared" ca="1" si="79"/>
        <v>0</v>
      </c>
      <c r="AN64" s="225">
        <f t="shared" ca="1" si="80"/>
        <v>0</v>
      </c>
      <c r="AO64" s="225">
        <f t="shared" ca="1" si="81"/>
        <v>0</v>
      </c>
      <c r="AP64" s="225">
        <f t="shared" ca="1" si="31"/>
        <v>0</v>
      </c>
      <c r="AQ64" s="225"/>
      <c r="AR64" s="225"/>
      <c r="AS64" s="225"/>
      <c r="AT64" s="225"/>
      <c r="AU64" s="225"/>
      <c r="AV64" s="225"/>
      <c r="AW64" s="225"/>
      <c r="AX64" s="225"/>
      <c r="AY64" s="225"/>
      <c r="AZ64" s="225"/>
      <c r="BA64" s="225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25"/>
      <c r="BN64" s="225"/>
      <c r="BO64" s="225"/>
      <c r="BP64" s="225"/>
      <c r="BQ64" s="225"/>
      <c r="BR64" s="225"/>
      <c r="BS64" s="225"/>
      <c r="BT64" s="225"/>
      <c r="BU64" s="225"/>
      <c r="BV64" s="225"/>
      <c r="BW64" s="225"/>
      <c r="BX64" s="225"/>
      <c r="BY64" s="225"/>
    </row>
    <row r="65" spans="1:77">
      <c r="J65" s="28"/>
      <c r="K65" s="28">
        <v>38</v>
      </c>
      <c r="L65" s="228">
        <f t="shared" ref="L65:V65" ca="1" si="84">IF($K66&lt;L$22,0,AVERAGE(OFFSET($I$16,,$K66-L$22+3)*L$23,OFFSET($I$16,0,$K66-L$22+2)*L$23))</f>
        <v>0</v>
      </c>
      <c r="M65" s="228">
        <f t="shared" ca="1" si="84"/>
        <v>0</v>
      </c>
      <c r="N65" s="228">
        <f t="shared" ca="1" si="84"/>
        <v>0</v>
      </c>
      <c r="O65" s="228">
        <f t="shared" ca="1" si="84"/>
        <v>0</v>
      </c>
      <c r="P65" s="228">
        <f t="shared" ca="1" si="84"/>
        <v>0</v>
      </c>
      <c r="Q65" s="228">
        <f t="shared" ca="1" si="84"/>
        <v>0</v>
      </c>
      <c r="R65" s="228">
        <f t="shared" ca="1" si="84"/>
        <v>0</v>
      </c>
      <c r="S65" s="228">
        <f t="shared" ca="1" si="84"/>
        <v>0</v>
      </c>
      <c r="T65" s="228">
        <f t="shared" ca="1" si="84"/>
        <v>0</v>
      </c>
      <c r="U65" s="228">
        <f t="shared" ca="1" si="84"/>
        <v>0</v>
      </c>
      <c r="V65" s="228">
        <f t="shared" ca="1" si="84"/>
        <v>0</v>
      </c>
      <c r="W65" s="228">
        <f t="shared" ref="W65:AO65" ca="1" si="85">IF($F66&lt;W$22,0,AVERAGE(OFFSET($I$16,,$F66-W$22+3)*W$23,OFFSET($I$16,0,$F66-W$22+2)*W$23))</f>
        <v>0</v>
      </c>
      <c r="X65" s="228">
        <f t="shared" ca="1" si="85"/>
        <v>0</v>
      </c>
      <c r="Y65" s="228">
        <f t="shared" ca="1" si="85"/>
        <v>0</v>
      </c>
      <c r="Z65" s="228">
        <f t="shared" ca="1" si="85"/>
        <v>0</v>
      </c>
      <c r="AA65" s="228">
        <f t="shared" ca="1" si="85"/>
        <v>0</v>
      </c>
      <c r="AB65" s="228">
        <f t="shared" ca="1" si="85"/>
        <v>0</v>
      </c>
      <c r="AC65" s="228">
        <f t="shared" ca="1" si="85"/>
        <v>0</v>
      </c>
      <c r="AD65" s="228">
        <f t="shared" ca="1" si="85"/>
        <v>0</v>
      </c>
      <c r="AE65" s="228">
        <f t="shared" ca="1" si="85"/>
        <v>0</v>
      </c>
      <c r="AF65" s="228">
        <f t="shared" ca="1" si="85"/>
        <v>0</v>
      </c>
      <c r="AG65" s="228">
        <f t="shared" ca="1" si="85"/>
        <v>0</v>
      </c>
      <c r="AH65" s="228">
        <f t="shared" ca="1" si="85"/>
        <v>0</v>
      </c>
      <c r="AI65" s="228">
        <f t="shared" ca="1" si="85"/>
        <v>0</v>
      </c>
      <c r="AJ65" s="228">
        <f t="shared" ca="1" si="85"/>
        <v>0</v>
      </c>
      <c r="AK65" s="228">
        <f t="shared" ca="1" si="85"/>
        <v>0</v>
      </c>
      <c r="AL65" s="228">
        <f t="shared" ca="1" si="85"/>
        <v>0</v>
      </c>
      <c r="AM65" s="228">
        <f t="shared" ca="1" si="85"/>
        <v>0</v>
      </c>
      <c r="AN65" s="228">
        <f t="shared" ca="1" si="85"/>
        <v>0</v>
      </c>
      <c r="AO65" s="228">
        <f t="shared" ca="1" si="85"/>
        <v>0</v>
      </c>
      <c r="AP65" s="225">
        <f t="shared" ca="1" si="31"/>
        <v>0</v>
      </c>
      <c r="AQ65" s="225"/>
      <c r="AR65" s="225"/>
      <c r="AS65" s="225"/>
      <c r="AT65" s="225"/>
      <c r="AU65" s="225"/>
      <c r="AV65" s="225"/>
      <c r="AW65" s="225"/>
      <c r="AX65" s="225"/>
      <c r="AY65" s="225"/>
      <c r="AZ65" s="225"/>
      <c r="BA65" s="225"/>
      <c r="BW65" s="225"/>
      <c r="BX65" s="225"/>
      <c r="BY65" s="225"/>
    </row>
    <row r="66" spans="1:77">
      <c r="J66" s="227" t="s">
        <v>262</v>
      </c>
      <c r="L66" s="225">
        <f ca="1">SUM(L27:L65)</f>
        <v>825000</v>
      </c>
      <c r="M66" s="225">
        <f t="shared" ref="M66:U66" ca="1" si="86">SUM(M27:M65)</f>
        <v>825000</v>
      </c>
      <c r="N66" s="225">
        <f t="shared" ca="1" si="86"/>
        <v>825000</v>
      </c>
      <c r="O66" s="225">
        <f t="shared" ca="1" si="86"/>
        <v>825000</v>
      </c>
      <c r="P66" s="225">
        <f t="shared" ca="1" si="86"/>
        <v>825000</v>
      </c>
      <c r="Q66" s="225">
        <f t="shared" ca="1" si="86"/>
        <v>825000</v>
      </c>
      <c r="R66" s="225">
        <f t="shared" ca="1" si="86"/>
        <v>825000</v>
      </c>
      <c r="S66" s="225">
        <f t="shared" ca="1" si="86"/>
        <v>425683.00000000029</v>
      </c>
      <c r="T66" s="225">
        <f t="shared" ca="1" si="86"/>
        <v>0</v>
      </c>
      <c r="U66" s="225">
        <f t="shared" ca="1" si="86"/>
        <v>0</v>
      </c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25"/>
      <c r="AO66" s="225"/>
      <c r="AP66" s="225"/>
      <c r="AQ66" s="225"/>
      <c r="AR66" s="225"/>
      <c r="AS66" s="225"/>
      <c r="AT66" s="225"/>
      <c r="AU66" s="225"/>
      <c r="AV66" s="225"/>
      <c r="AZ66" s="225"/>
      <c r="BA66" s="225"/>
      <c r="BW66" s="225"/>
      <c r="BX66" s="225"/>
      <c r="BY66" s="225"/>
    </row>
    <row r="67" spans="1:77">
      <c r="L67" s="225"/>
    </row>
    <row r="68" spans="1:77">
      <c r="L68" s="225"/>
    </row>
    <row r="69" spans="1:77">
      <c r="A69" s="170"/>
      <c r="B69" s="170"/>
      <c r="C69" s="170"/>
      <c r="D69" s="170"/>
      <c r="E69" s="170"/>
      <c r="F69" s="170" t="s">
        <v>279</v>
      </c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</row>
    <row r="70" spans="1:77">
      <c r="L70" s="225"/>
    </row>
    <row r="71" spans="1:77">
      <c r="B71" s="37" t="s">
        <v>20</v>
      </c>
      <c r="C71" s="36" t="s">
        <v>249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3" spans="1:77">
      <c r="G73" s="22" t="s">
        <v>250</v>
      </c>
      <c r="L73" s="206">
        <f ca="1">AP27</f>
        <v>51562.499999999993</v>
      </c>
      <c r="M73" s="206">
        <f ca="1">AP28</f>
        <v>136124.99999999997</v>
      </c>
      <c r="N73" s="206">
        <f ca="1">AP29</f>
        <v>196844.99999999997</v>
      </c>
      <c r="O73" s="206">
        <f ca="1">AP30</f>
        <v>248681.39999999997</v>
      </c>
      <c r="P73" s="206">
        <f ca="1">AP31</f>
        <v>294502.55999999994</v>
      </c>
      <c r="Q73" s="206">
        <f ca="1">AP32</f>
        <v>335741.60399999993</v>
      </c>
      <c r="R73" s="206">
        <f ca="1">AP33</f>
        <v>373052.08643999993</v>
      </c>
      <c r="S73" s="206">
        <f ca="1">AP34</f>
        <v>382225.07494479994</v>
      </c>
      <c r="T73" s="206">
        <f ca="1">AP35</f>
        <v>346253.31289486395</v>
      </c>
      <c r="U73" s="206">
        <f ca="1">AP36</f>
        <v>302737.14604227612</v>
      </c>
      <c r="V73" s="206">
        <f ca="1">AP37</f>
        <v>274195.66659946507</v>
      </c>
      <c r="W73" s="206">
        <f ca="1">AP38</f>
        <v>251755.50805599449</v>
      </c>
      <c r="X73" s="206">
        <f ca="1">AP39</f>
        <v>233312.69089817753</v>
      </c>
      <c r="Y73" s="206">
        <f ca="1">AP40</f>
        <v>217877.63071027695</v>
      </c>
      <c r="Z73" s="206">
        <f ca="1">AP41</f>
        <v>204930.22470249436</v>
      </c>
      <c r="AA73" s="206">
        <f ca="1">AP42</f>
        <v>193953.19895264084</v>
      </c>
      <c r="AB73" s="206">
        <f ca="1">AP43</f>
        <v>184419.99583464101</v>
      </c>
      <c r="AC73" s="206">
        <f ca="1">AP44</f>
        <v>175894.65779423574</v>
      </c>
      <c r="AD73" s="206">
        <f ca="1">AP45</f>
        <v>168075.99399167404</v>
      </c>
      <c r="AE73" s="206">
        <f ca="1">AP46</f>
        <v>160842.11656561733</v>
      </c>
      <c r="AF73" s="206">
        <f ca="1">AP47</f>
        <v>154156.03206978532</v>
      </c>
      <c r="AG73" s="206">
        <f ca="1">AP48</f>
        <v>147926.54367590905</v>
      </c>
      <c r="AH73" s="206">
        <f ca="1">AP49</f>
        <v>142009.48192887267</v>
      </c>
      <c r="AI73" s="206">
        <f ca="1">AP50</f>
        <v>136329.10265171775</v>
      </c>
      <c r="AJ73" s="206">
        <f ca="1">AP51</f>
        <v>130875.93854564906</v>
      </c>
      <c r="AK73" s="206">
        <f ca="1">AP52</f>
        <v>125640.90100382309</v>
      </c>
      <c r="AL73" s="206">
        <f ca="1">AP53</f>
        <v>120615.26496367018</v>
      </c>
      <c r="AM73" s="206">
        <f ca="1">AP54</f>
        <v>114966.13019820231</v>
      </c>
      <c r="AN73" s="206">
        <f ca="1">AP55</f>
        <v>103197.49373940256</v>
      </c>
      <c r="AO73" s="206">
        <f ca="1">AP56</f>
        <v>86378.659821925277</v>
      </c>
      <c r="AP73" s="206">
        <f ca="1">AP57</f>
        <v>70232.579261147068</v>
      </c>
      <c r="AQ73" s="206">
        <f ca="1">AP58</f>
        <v>54732.341922800006</v>
      </c>
      <c r="AR73" s="206">
        <f ca="1">AP59</f>
        <v>39852.114077986829</v>
      </c>
      <c r="AS73" s="206">
        <f ca="1">AP60</f>
        <v>25567.095346966169</v>
      </c>
      <c r="AT73" s="206">
        <f ca="1">AP61</f>
        <v>12252.564052171088</v>
      </c>
      <c r="AU73" s="206">
        <f ca="1">AP62</f>
        <v>2967.3883128155103</v>
      </c>
    </row>
    <row r="74" spans="1:77">
      <c r="G74" s="22" t="s">
        <v>251</v>
      </c>
      <c r="L74" s="206">
        <f ca="1">L73*'Inputs &amp; Assumptions'!$L$58</f>
        <v>35320.3125</v>
      </c>
      <c r="M74" s="206">
        <f ca="1">M73*'Inputs &amp; Assumptions'!$L$58</f>
        <v>93245.624999999985</v>
      </c>
      <c r="N74" s="206">
        <f ca="1">N73*'Inputs &amp; Assumptions'!$L$58</f>
        <v>134838.82499999998</v>
      </c>
      <c r="O74" s="206">
        <f ca="1">O73*'Inputs &amp; Assumptions'!$L$58</f>
        <v>170346.75899999999</v>
      </c>
      <c r="P74" s="206">
        <f ca="1">P73*'Inputs &amp; Assumptions'!$L$58</f>
        <v>201734.25359999997</v>
      </c>
      <c r="Q74" s="206">
        <f ca="1">Q73*'Inputs &amp; Assumptions'!$L$58</f>
        <v>229982.99873999998</v>
      </c>
      <c r="R74" s="206">
        <f ca="1">R73*'Inputs &amp; Assumptions'!$L$58</f>
        <v>255540.67921139998</v>
      </c>
      <c r="S74" s="206">
        <f ca="1">S73*'Inputs &amp; Assumptions'!$L$58</f>
        <v>261824.17633718799</v>
      </c>
      <c r="T74" s="206">
        <f ca="1">T73*'Inputs &amp; Assumptions'!$L$58</f>
        <v>237183.51933298181</v>
      </c>
      <c r="U74" s="206">
        <f ca="1">U73*'Inputs &amp; Assumptions'!$L$58</f>
        <v>207374.94503895915</v>
      </c>
      <c r="V74" s="206">
        <f ca="1">V73*'Inputs &amp; Assumptions'!$L$58</f>
        <v>187824.03162063358</v>
      </c>
      <c r="W74" s="206">
        <f ca="1">W73*'Inputs &amp; Assumptions'!$L$58</f>
        <v>172452.52301835624</v>
      </c>
      <c r="X74" s="206">
        <f ca="1">X73*'Inputs &amp; Assumptions'!$L$58</f>
        <v>159819.19326525161</v>
      </c>
      <c r="Y74" s="206">
        <f ca="1">Y73*'Inputs &amp; Assumptions'!$L$58</f>
        <v>149246.17703653971</v>
      </c>
      <c r="Z74" s="206">
        <f ca="1">Z73*'Inputs &amp; Assumptions'!$L$58</f>
        <v>140377.20392120865</v>
      </c>
      <c r="AA74" s="206">
        <f ca="1">AA73*'Inputs &amp; Assumptions'!$L$58</f>
        <v>132857.94128255898</v>
      </c>
      <c r="AB74" s="206">
        <f ca="1">AB73*'Inputs &amp; Assumptions'!$L$58</f>
        <v>126327.6971467291</v>
      </c>
      <c r="AC74" s="206">
        <f ca="1">AC73*'Inputs &amp; Assumptions'!$L$58</f>
        <v>120487.84058905148</v>
      </c>
      <c r="AD74" s="206">
        <f ca="1">AD73*'Inputs &amp; Assumptions'!$L$58</f>
        <v>115132.05588429673</v>
      </c>
      <c r="AE74" s="206">
        <f ca="1">AE73*'Inputs &amp; Assumptions'!$L$58</f>
        <v>110176.84984744787</v>
      </c>
      <c r="AF74" s="206">
        <f ca="1">AF73*'Inputs &amp; Assumptions'!$L$58</f>
        <v>105596.88196780295</v>
      </c>
      <c r="AG74" s="206">
        <f ca="1">AG73*'Inputs &amp; Assumptions'!$L$58</f>
        <v>101329.68241799771</v>
      </c>
      <c r="AH74" s="206">
        <f ca="1">AH73*'Inputs &amp; Assumptions'!$L$58</f>
        <v>97276.495121277781</v>
      </c>
      <c r="AI74" s="206">
        <f ca="1">AI73*'Inputs &amp; Assumptions'!$L$58</f>
        <v>93385.435316426665</v>
      </c>
      <c r="AJ74" s="206">
        <f ca="1">AJ73*'Inputs &amp; Assumptions'!$L$58</f>
        <v>89650.017903769607</v>
      </c>
      <c r="AK74" s="206">
        <f ca="1">AK73*'Inputs &amp; Assumptions'!$L$58</f>
        <v>86064.017187618825</v>
      </c>
      <c r="AL74" s="206">
        <f ca="1">AL73*'Inputs &amp; Assumptions'!$L$58</f>
        <v>82621.456500114087</v>
      </c>
      <c r="AM74" s="206">
        <f ca="1">AM73*'Inputs &amp; Assumptions'!$L$58</f>
        <v>78751.799185768585</v>
      </c>
      <c r="AN74" s="206">
        <f ca="1">AN73*'Inputs &amp; Assumptions'!$L$58</f>
        <v>70690.283211490765</v>
      </c>
      <c r="AO74" s="206">
        <f ca="1">AO73*'Inputs &amp; Assumptions'!$L$58</f>
        <v>59169.381978018821</v>
      </c>
      <c r="AP74" s="206">
        <f ca="1">AP73*'Inputs &amp; Assumptions'!$L$58</f>
        <v>48109.316793885744</v>
      </c>
      <c r="AQ74" s="206">
        <f ca="1">AQ73*'Inputs &amp; Assumptions'!$L$58</f>
        <v>37491.654217118004</v>
      </c>
      <c r="AR74" s="206">
        <f ca="1">AR73*'Inputs &amp; Assumptions'!$L$58</f>
        <v>27298.698143420981</v>
      </c>
      <c r="AS74" s="206">
        <f ca="1">AS73*'Inputs &amp; Assumptions'!$L$58</f>
        <v>17513.460312671828</v>
      </c>
      <c r="AT74" s="206">
        <f ca="1">AT73*'Inputs &amp; Assumptions'!$L$58</f>
        <v>8393.0063757371954</v>
      </c>
      <c r="AU74" s="206">
        <f ca="1">AU73*'Inputs &amp; Assumptions'!$L$58</f>
        <v>2032.6609942786247</v>
      </c>
    </row>
    <row r="75" spans="1:77">
      <c r="G75" s="22" t="s">
        <v>252</v>
      </c>
      <c r="L75" s="206">
        <f ca="1">L73*'Inputs &amp; Assumptions'!$L$59/'Inputs &amp; Assumptions'!$L$35</f>
        <v>2566.0937499999995</v>
      </c>
      <c r="M75" s="206">
        <f ca="1">M73*'Inputs &amp; Assumptions'!$L$59/'Inputs &amp; Assumptions'!$L$35</f>
        <v>6774.4874999999984</v>
      </c>
      <c r="N75" s="206">
        <f ca="1">N73*'Inputs &amp; Assumptions'!$L$59/'Inputs &amp; Assumptions'!$L$35</f>
        <v>9796.3194999999978</v>
      </c>
      <c r="O75" s="206">
        <f ca="1">O73*'Inputs &amp; Assumptions'!$L$59/'Inputs &amp; Assumptions'!$L$35</f>
        <v>12376.044339999999</v>
      </c>
      <c r="P75" s="206">
        <f ca="1">P73*'Inputs &amp; Assumptions'!$L$59/'Inputs &amp; Assumptions'!$L$35</f>
        <v>14656.410735999996</v>
      </c>
      <c r="Q75" s="206">
        <f ca="1">Q73*'Inputs &amp; Assumptions'!$L$59/'Inputs &amp; Assumptions'!$L$35</f>
        <v>16708.740492399997</v>
      </c>
      <c r="R75" s="206">
        <f ca="1">R73*'Inputs &amp; Assumptions'!$L$59/'Inputs &amp; Assumptions'!$L$35</f>
        <v>18565.558835163993</v>
      </c>
      <c r="S75" s="206">
        <f ca="1">S73*'Inputs &amp; Assumptions'!$L$59/'Inputs &amp; Assumptions'!$L$35</f>
        <v>19022.067896419543</v>
      </c>
      <c r="T75" s="206">
        <f ca="1">T73*'Inputs &amp; Assumptions'!$L$59/'Inputs &amp; Assumptions'!$L$35</f>
        <v>17231.873205067728</v>
      </c>
      <c r="U75" s="206">
        <f ca="1">U73*'Inputs &amp; Assumptions'!$L$59/'Inputs &amp; Assumptions'!$L$35</f>
        <v>15066.218634703941</v>
      </c>
      <c r="V75" s="206">
        <f ca="1">V73*'Inputs &amp; Assumptions'!$L$59/'Inputs &amp; Assumptions'!$L$35</f>
        <v>13645.804341100045</v>
      </c>
      <c r="W75" s="206">
        <f ca="1">W73*'Inputs &amp; Assumptions'!$L$59/'Inputs &amp; Assumptions'!$L$35</f>
        <v>12529.032450919993</v>
      </c>
      <c r="X75" s="206">
        <f ca="1">X73*'Inputs &amp; Assumptions'!$L$59/'Inputs &amp; Assumptions'!$L$35</f>
        <v>11611.194917032633</v>
      </c>
      <c r="Y75" s="206">
        <f ca="1">Y73*'Inputs &amp; Assumptions'!$L$59/'Inputs &amp; Assumptions'!$L$35</f>
        <v>10843.043421681448</v>
      </c>
      <c r="Z75" s="206">
        <f ca="1">Z73*'Inputs &amp; Assumptions'!$L$59/'Inputs &amp; Assumptions'!$L$35</f>
        <v>10198.694182694135</v>
      </c>
      <c r="AA75" s="206">
        <f ca="1">AA73*'Inputs &amp; Assumptions'!$L$59/'Inputs &amp; Assumptions'!$L$35</f>
        <v>9652.404201209758</v>
      </c>
      <c r="AB75" s="206">
        <f ca="1">AB73*'Inputs &amp; Assumptions'!$L$59/'Inputs &amp; Assumptions'!$L$35</f>
        <v>9177.9684593706334</v>
      </c>
      <c r="AC75" s="206">
        <f ca="1">AC73*'Inputs &amp; Assumptions'!$L$59/'Inputs &amp; Assumptions'!$L$35</f>
        <v>8753.6908028931302</v>
      </c>
      <c r="AD75" s="206">
        <f ca="1">AD73*'Inputs &amp; Assumptions'!$L$59/'Inputs &amp; Assumptions'!$L$35</f>
        <v>8364.5819676523115</v>
      </c>
      <c r="AE75" s="206">
        <f ca="1">AE73*'Inputs &amp; Assumptions'!$L$59/'Inputs &amp; Assumptions'!$L$35</f>
        <v>8004.5760010822223</v>
      </c>
      <c r="AF75" s="206">
        <f ca="1">AF73*'Inputs &amp; Assumptions'!$L$59/'Inputs &amp; Assumptions'!$L$35</f>
        <v>7671.8318626729815</v>
      </c>
      <c r="AG75" s="206">
        <f ca="1">AG73*'Inputs &amp; Assumptions'!$L$59/'Inputs &amp; Assumptions'!$L$35</f>
        <v>7361.8109902710739</v>
      </c>
      <c r="AH75" s="206">
        <f ca="1">AH73*'Inputs &amp; Assumptions'!$L$59/'Inputs &amp; Assumptions'!$L$35</f>
        <v>7067.338550660229</v>
      </c>
      <c r="AI75" s="206">
        <f ca="1">AI73*'Inputs &amp; Assumptions'!$L$59/'Inputs &amp; Assumptions'!$L$35</f>
        <v>6784.6450086338191</v>
      </c>
      <c r="AJ75" s="206">
        <f ca="1">AJ73*'Inputs &amp; Assumptions'!$L$59/'Inputs &amp; Assumptions'!$L$35</f>
        <v>6513.2592082884667</v>
      </c>
      <c r="AK75" s="206">
        <f ca="1">AK73*'Inputs &amp; Assumptions'!$L$59/'Inputs &amp; Assumptions'!$L$35</f>
        <v>6252.7288399569288</v>
      </c>
      <c r="AL75" s="206">
        <f ca="1">AL73*'Inputs &amp; Assumptions'!$L$59/'Inputs &amp; Assumptions'!$L$35</f>
        <v>6002.619686358652</v>
      </c>
      <c r="AM75" s="206">
        <f ca="1">AM73*'Inputs &amp; Assumptions'!$L$59/'Inputs &amp; Assumptions'!$L$35</f>
        <v>5721.4810795305348</v>
      </c>
      <c r="AN75" s="206">
        <f ca="1">AN73*'Inputs &amp; Assumptions'!$L$59/'Inputs &amp; Assumptions'!$L$35</f>
        <v>5135.7952717642665</v>
      </c>
      <c r="AO75" s="206">
        <f ca="1">AO73*'Inputs &amp; Assumptions'!$L$59/'Inputs &amp; Assumptions'!$L$35</f>
        <v>4298.7779704711475</v>
      </c>
      <c r="AP75" s="206">
        <f ca="1">AP73*'Inputs &amp; Assumptions'!$L$59/'Inputs &amp; Assumptions'!$L$35</f>
        <v>3495.2413612297519</v>
      </c>
      <c r="AQ75" s="206">
        <f ca="1">AQ73*'Inputs &amp; Assumptions'!$L$59/'Inputs &amp; Assumptions'!$L$35</f>
        <v>2723.8462163580134</v>
      </c>
      <c r="AR75" s="206">
        <f ca="1">AR73*'Inputs &amp; Assumptions'!$L$59/'Inputs &amp; Assumptions'!$L$35</f>
        <v>1983.3068772811446</v>
      </c>
      <c r="AS75" s="206">
        <f ca="1">AS73*'Inputs &amp; Assumptions'!$L$59/'Inputs &amp; Assumptions'!$L$35</f>
        <v>1272.3891117673495</v>
      </c>
      <c r="AT75" s="206">
        <f ca="1">AT73*'Inputs &amp; Assumptions'!$L$59/'Inputs &amp; Assumptions'!$L$35</f>
        <v>609.76927099638112</v>
      </c>
      <c r="AU75" s="206">
        <f ca="1">AU73*'Inputs &amp; Assumptions'!$L$59/'Inputs &amp; Assumptions'!$L$35</f>
        <v>147.67702503445187</v>
      </c>
    </row>
    <row r="76" spans="1:77">
      <c r="G76" s="22" t="s">
        <v>253</v>
      </c>
      <c r="L76" s="206">
        <f ca="1">L73*'Inputs &amp; Assumptions'!$L$60/'Inputs &amp; Assumptions'!$L$35</f>
        <v>140.9375</v>
      </c>
      <c r="M76" s="206">
        <f ca="1">M73*'Inputs &amp; Assumptions'!$L$60/'Inputs &amp; Assumptions'!$L$35</f>
        <v>372.07499999999999</v>
      </c>
      <c r="N76" s="206">
        <f ca="1">N73*'Inputs &amp; Assumptions'!$L$60/'Inputs &amp; Assumptions'!$L$35</f>
        <v>538.04300000000001</v>
      </c>
      <c r="O76" s="206">
        <f ca="1">O73*'Inputs &amp; Assumptions'!$L$60/'Inputs &amp; Assumptions'!$L$35</f>
        <v>679.72915999999998</v>
      </c>
      <c r="P76" s="206">
        <f ca="1">P73*'Inputs &amp; Assumptions'!$L$60/'Inputs &amp; Assumptions'!$L$35</f>
        <v>804.97366399999999</v>
      </c>
      <c r="Q76" s="206">
        <f ca="1">Q73*'Inputs &amp; Assumptions'!$L$60/'Inputs &amp; Assumptions'!$L$35</f>
        <v>917.69371759999979</v>
      </c>
      <c r="R76" s="206">
        <f ca="1">R73*'Inputs &amp; Assumptions'!$L$60/'Inputs &amp; Assumptions'!$L$35</f>
        <v>1019.675702936</v>
      </c>
      <c r="S76" s="206">
        <f ca="1">S73*'Inputs &amp; Assumptions'!$L$60/'Inputs &amp; Assumptions'!$L$35</f>
        <v>1044.7485381824533</v>
      </c>
      <c r="T76" s="206">
        <f ca="1">T73*'Inputs &amp; Assumptions'!$L$60/'Inputs &amp; Assumptions'!$L$35</f>
        <v>946.42572191262832</v>
      </c>
      <c r="U76" s="206">
        <f ca="1">U73*'Inputs &amp; Assumptions'!$L$60/'Inputs &amp; Assumptions'!$L$35</f>
        <v>827.4815325155547</v>
      </c>
      <c r="V76" s="206">
        <f ca="1">V73*'Inputs &amp; Assumptions'!$L$60/'Inputs &amp; Assumptions'!$L$35</f>
        <v>749.46815537187115</v>
      </c>
      <c r="W76" s="206">
        <f ca="1">W73*'Inputs &amp; Assumptions'!$L$60/'Inputs &amp; Assumptions'!$L$35</f>
        <v>688.13172201971838</v>
      </c>
      <c r="X76" s="206">
        <f ca="1">X73*'Inputs &amp; Assumptions'!$L$60/'Inputs &amp; Assumptions'!$L$35</f>
        <v>637.72135512168529</v>
      </c>
      <c r="Y76" s="206">
        <f ca="1">Y73*'Inputs &amp; Assumptions'!$L$60/'Inputs &amp; Assumptions'!$L$35</f>
        <v>595.53219060809045</v>
      </c>
      <c r="Z76" s="206">
        <f ca="1">Z73*'Inputs &amp; Assumptions'!$L$60/'Inputs &amp; Assumptions'!$L$35</f>
        <v>560.14261418681792</v>
      </c>
      <c r="AA76" s="206">
        <f ca="1">AA73*'Inputs &amp; Assumptions'!$L$60/'Inputs &amp; Assumptions'!$L$35</f>
        <v>530.13874380388495</v>
      </c>
      <c r="AB76" s="206">
        <f ca="1">AB73*'Inputs &amp; Assumptions'!$L$60/'Inputs &amp; Assumptions'!$L$35</f>
        <v>504.0813219480188</v>
      </c>
      <c r="AC76" s="206">
        <f ca="1">AC73*'Inputs &amp; Assumptions'!$L$60/'Inputs &amp; Assumptions'!$L$35</f>
        <v>480.77873130424445</v>
      </c>
      <c r="AD76" s="206">
        <f ca="1">AD73*'Inputs &amp; Assumptions'!$L$60/'Inputs &amp; Assumptions'!$L$35</f>
        <v>459.40771691057574</v>
      </c>
      <c r="AE76" s="206">
        <f ca="1">AE73*'Inputs &amp; Assumptions'!$L$60/'Inputs &amp; Assumptions'!$L$35</f>
        <v>439.63511861268739</v>
      </c>
      <c r="AF76" s="206">
        <f ca="1">AF73*'Inputs &amp; Assumptions'!$L$60/'Inputs &amp; Assumptions'!$L$35</f>
        <v>421.35982099074658</v>
      </c>
      <c r="AG76" s="206">
        <f ca="1">AG73*'Inputs &amp; Assumptions'!$L$60/'Inputs &amp; Assumptions'!$L$35</f>
        <v>404.33255271415146</v>
      </c>
      <c r="AH76" s="206">
        <f ca="1">AH73*'Inputs &amp; Assumptions'!$L$60/'Inputs &amp; Assumptions'!$L$35</f>
        <v>388.15925060558533</v>
      </c>
      <c r="AI76" s="206">
        <f ca="1">AI73*'Inputs &amp; Assumptions'!$L$60/'Inputs &amp; Assumptions'!$L$35</f>
        <v>372.63288058136186</v>
      </c>
      <c r="AJ76" s="206">
        <f ca="1">AJ73*'Inputs &amp; Assumptions'!$L$60/'Inputs &amp; Assumptions'!$L$35</f>
        <v>357.72756535810748</v>
      </c>
      <c r="AK76" s="206">
        <f ca="1">AK73*'Inputs &amp; Assumptions'!$L$60/'Inputs &amp; Assumptions'!$L$35</f>
        <v>343.4184627437831</v>
      </c>
      <c r="AL76" s="206">
        <f ca="1">AL73*'Inputs &amp; Assumptions'!$L$60/'Inputs &amp; Assumptions'!$L$35</f>
        <v>329.68172423403183</v>
      </c>
      <c r="AM76" s="206">
        <f ca="1">AM73*'Inputs &amp; Assumptions'!$L$60/'Inputs &amp; Assumptions'!$L$35</f>
        <v>314.24075587508634</v>
      </c>
      <c r="AN76" s="206">
        <f ca="1">AN73*'Inputs &amp; Assumptions'!$L$60/'Inputs &amp; Assumptions'!$L$35</f>
        <v>282.07314955436703</v>
      </c>
      <c r="AO76" s="206">
        <f ca="1">AO73*'Inputs &amp; Assumptions'!$L$60/'Inputs &amp; Assumptions'!$L$35</f>
        <v>236.1016701799291</v>
      </c>
      <c r="AP76" s="206">
        <f ca="1">AP73*'Inputs &amp; Assumptions'!$L$60/'Inputs &amp; Assumptions'!$L$35</f>
        <v>191.96904998046867</v>
      </c>
      <c r="AQ76" s="206">
        <f ca="1">AQ73*'Inputs &amp; Assumptions'!$L$60/'Inputs &amp; Assumptions'!$L$35</f>
        <v>149.60173458898669</v>
      </c>
      <c r="AR76" s="206">
        <f ca="1">AR73*'Inputs &amp; Assumptions'!$L$60/'Inputs &amp; Assumptions'!$L$35</f>
        <v>108.92911181316401</v>
      </c>
      <c r="AS76" s="206">
        <f ca="1">AS73*'Inputs &amp; Assumptions'!$L$60/'Inputs &amp; Assumptions'!$L$35</f>
        <v>69.883393948374206</v>
      </c>
      <c r="AT76" s="206">
        <f ca="1">AT73*'Inputs &amp; Assumptions'!$L$60/'Inputs &amp; Assumptions'!$L$35</f>
        <v>33.490341742600982</v>
      </c>
      <c r="AU76" s="206">
        <f ca="1">AU73*'Inputs &amp; Assumptions'!$L$60/'Inputs &amp; Assumptions'!$L$35</f>
        <v>8.1108613883623963</v>
      </c>
    </row>
    <row r="78" spans="1:77">
      <c r="B78" s="37" t="s">
        <v>188</v>
      </c>
      <c r="C78" s="36" t="s">
        <v>254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80" spans="1:77">
      <c r="C80" s="41" t="s">
        <v>21</v>
      </c>
      <c r="D80" s="42" t="s">
        <v>255</v>
      </c>
      <c r="E80" s="42"/>
      <c r="F80" s="175"/>
      <c r="G80" s="175"/>
      <c r="H80" s="175"/>
      <c r="I80" s="175"/>
      <c r="J80" s="50"/>
      <c r="K80" s="175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</row>
    <row r="82" spans="2:47">
      <c r="G82" s="22" t="s">
        <v>256</v>
      </c>
      <c r="L82" s="209">
        <f ca="1">L74*'Commodity Price Assumptions'!$O$10/1000</f>
        <v>123.62109375</v>
      </c>
      <c r="M82" s="209">
        <f ca="1">M74*'Commodity Price Assumptions'!$O$10/1000</f>
        <v>326.35968749999995</v>
      </c>
      <c r="N82" s="209">
        <f ca="1">N74*'Commodity Price Assumptions'!$O$10/1000</f>
        <v>471.93588749999998</v>
      </c>
      <c r="O82" s="209">
        <f ca="1">O74*'Commodity Price Assumptions'!$O$10/1000</f>
        <v>596.21365649999996</v>
      </c>
      <c r="P82" s="209">
        <f ca="1">P74*'Commodity Price Assumptions'!$O$10/1000</f>
        <v>706.0698875999999</v>
      </c>
      <c r="Q82" s="209">
        <f ca="1">Q74*'Commodity Price Assumptions'!$O$10/1000</f>
        <v>804.94049558999995</v>
      </c>
      <c r="R82" s="209">
        <f ca="1">R74*'Commodity Price Assumptions'!$O$10/1000</f>
        <v>894.39237723989993</v>
      </c>
      <c r="S82" s="209">
        <f ca="1">S74*'Commodity Price Assumptions'!$O$10/1000</f>
        <v>916.38461718015787</v>
      </c>
      <c r="T82" s="209">
        <f ca="1">T74*'Commodity Price Assumptions'!$O$10/1000</f>
        <v>830.14231766543628</v>
      </c>
      <c r="U82" s="209">
        <f ca="1">U74*'Commodity Price Assumptions'!$O$10/1000</f>
        <v>725.81230763635699</v>
      </c>
      <c r="V82" s="209">
        <f ca="1">V74*'Commodity Price Assumptions'!$O$10/1000</f>
        <v>657.38411067221762</v>
      </c>
      <c r="W82" s="209">
        <f ca="1">W74*'Commodity Price Assumptions'!$O$10/1000</f>
        <v>603.58383056424691</v>
      </c>
      <c r="X82" s="209">
        <f ca="1">X74*'Commodity Price Assumptions'!$O$10/1000</f>
        <v>559.36717642838062</v>
      </c>
      <c r="Y82" s="209">
        <f ca="1">Y74*'Commodity Price Assumptions'!$O$10/1000</f>
        <v>522.36161962788901</v>
      </c>
      <c r="Z82" s="209">
        <f ca="1">Z74*'Commodity Price Assumptions'!$O$10/1000</f>
        <v>491.32021372423031</v>
      </c>
      <c r="AA82" s="209">
        <f ca="1">AA74*'Commodity Price Assumptions'!$O$10/1000</f>
        <v>465.00279448895645</v>
      </c>
      <c r="AB82" s="209">
        <f ca="1">AB74*'Commodity Price Assumptions'!$O$10/1000</f>
        <v>442.14694001355184</v>
      </c>
      <c r="AC82" s="209">
        <f ca="1">AC74*'Commodity Price Assumptions'!$O$10/1000</f>
        <v>421.70744206168018</v>
      </c>
      <c r="AD82" s="209">
        <f ca="1">AD74*'Commodity Price Assumptions'!$O$10/1000</f>
        <v>402.96219559503851</v>
      </c>
      <c r="AE82" s="209">
        <f ca="1">AE74*'Commodity Price Assumptions'!$O$10/1000</f>
        <v>385.61897446606758</v>
      </c>
      <c r="AF82" s="209">
        <f ca="1">AF74*'Commodity Price Assumptions'!$O$10/1000</f>
        <v>369.58908688731032</v>
      </c>
      <c r="AG82" s="209">
        <f ca="1">AG74*'Commodity Price Assumptions'!$O$10/1000</f>
        <v>354.65388846299197</v>
      </c>
      <c r="AH82" s="209">
        <f ca="1">AH74*'Commodity Price Assumptions'!$O$10/1000</f>
        <v>340.46773292447227</v>
      </c>
      <c r="AI82" s="209">
        <f ca="1">AI74*'Commodity Price Assumptions'!$O$10/1000</f>
        <v>326.84902360749334</v>
      </c>
      <c r="AJ82" s="209">
        <f ca="1">AJ74*'Commodity Price Assumptions'!$O$10/1000</f>
        <v>313.77506266319364</v>
      </c>
      <c r="AK82" s="209">
        <f ca="1">AK74*'Commodity Price Assumptions'!$O$10/1000</f>
        <v>301.22406015666587</v>
      </c>
      <c r="AL82" s="209">
        <f ca="1">AL74*'Commodity Price Assumptions'!$O$10/1000</f>
        <v>289.17509775039935</v>
      </c>
      <c r="AM82" s="209">
        <f ca="1">AM74*'Commodity Price Assumptions'!$O$10/1000</f>
        <v>275.63129715019005</v>
      </c>
      <c r="AN82" s="209">
        <f ca="1">AN74*'Commodity Price Assumptions'!$O$10/1000</f>
        <v>247.41599124021766</v>
      </c>
      <c r="AO82" s="209">
        <f ca="1">AO74*'Commodity Price Assumptions'!$O$10/1000</f>
        <v>207.09283692306587</v>
      </c>
      <c r="AP82" s="209">
        <f ca="1">AP74*'Commodity Price Assumptions'!$O$10/1000</f>
        <v>168.38260877860012</v>
      </c>
      <c r="AQ82" s="209">
        <f ca="1">AQ74*'Commodity Price Assumptions'!$O$10/1000</f>
        <v>131.22078975991303</v>
      </c>
      <c r="AR82" s="209">
        <f ca="1">AR74*'Commodity Price Assumptions'!$O$10/1000</f>
        <v>95.545443501973438</v>
      </c>
      <c r="AS82" s="209">
        <f ca="1">AS74*'Commodity Price Assumptions'!$O$10/1000</f>
        <v>61.297111094351401</v>
      </c>
      <c r="AT82" s="209">
        <f ca="1">AT74*'Commodity Price Assumptions'!$O$10/1000</f>
        <v>29.375522315080183</v>
      </c>
      <c r="AU82" s="209">
        <f ca="1">AU74*'Commodity Price Assumptions'!$O$10/1000</f>
        <v>7.1143134799751859</v>
      </c>
    </row>
    <row r="84" spans="2:47">
      <c r="C84" s="41" t="s">
        <v>198</v>
      </c>
      <c r="D84" s="42" t="s">
        <v>257</v>
      </c>
      <c r="E84" s="42"/>
      <c r="F84" s="175"/>
      <c r="G84" s="175"/>
      <c r="H84" s="175"/>
      <c r="I84" s="175"/>
      <c r="J84" s="50"/>
      <c r="K84" s="175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</row>
    <row r="86" spans="2:47">
      <c r="G86" s="22" t="s">
        <v>256</v>
      </c>
      <c r="L86" s="209">
        <f ca="1">L75*'Commodity Price Assumptions'!$O$122/1000</f>
        <v>56.140783298258604</v>
      </c>
      <c r="M86" s="209">
        <f ca="1">M75*'Commodity Price Assumptions'!$O$122/1000</f>
        <v>148.2116679074027</v>
      </c>
      <c r="N86" s="209">
        <f ca="1">N75*'Commodity Price Assumptions'!$O$122/1000</f>
        <v>214.32305431943203</v>
      </c>
      <c r="O86" s="209">
        <f ca="1">O75*'Commodity Price Assumptions'!$O$122/1000</f>
        <v>270.76205745857106</v>
      </c>
      <c r="P86" s="209">
        <f ca="1">P75*'Commodity Price Assumptions'!$O$122/1000</f>
        <v>320.65172173076178</v>
      </c>
      <c r="Q86" s="209">
        <f ca="1">Q75*'Commodity Price Assumptions'!$O$122/1000</f>
        <v>365.55241957573344</v>
      </c>
      <c r="R86" s="209">
        <f ca="1">R75*'Commodity Price Assumptions'!$O$122/1000</f>
        <v>406.17573515231555</v>
      </c>
      <c r="S86" s="209">
        <f ca="1">S75*'Commodity Price Assumptions'!$O$122/1000</f>
        <v>416.16320200992334</v>
      </c>
      <c r="T86" s="209">
        <f ca="1">T75*'Commodity Price Assumptions'!$O$122/1000</f>
        <v>376.99747307703643</v>
      </c>
      <c r="U86" s="209">
        <f ca="1">U75*'Commodity Price Assumptions'!$O$122/1000</f>
        <v>329.617464480828</v>
      </c>
      <c r="V86" s="209">
        <f ca="1">V75*'Commodity Price Assumptions'!$O$122/1000</f>
        <v>298.54175999771417</v>
      </c>
      <c r="W86" s="209">
        <f ca="1">W75*'Commodity Price Assumptions'!$O$122/1000</f>
        <v>274.10911848561631</v>
      </c>
      <c r="X86" s="209">
        <f ca="1">X75*'Commodity Price Assumptions'!$O$122/1000</f>
        <v>254.02874609354043</v>
      </c>
      <c r="Y86" s="209">
        <f ca="1">Y75*'Commodity Price Assumptions'!$O$122/1000</f>
        <v>237.22319226654398</v>
      </c>
      <c r="Z86" s="209">
        <f ca="1">Z75*'Commodity Price Assumptions'!$O$122/1000</f>
        <v>223.12617379464103</v>
      </c>
      <c r="AA86" s="209">
        <f ca="1">AA75*'Commodity Price Assumptions'!$O$122/1000</f>
        <v>211.17448751329451</v>
      </c>
      <c r="AB86" s="209">
        <f ca="1">AB75*'Commodity Price Assumptions'!$O$122/1000</f>
        <v>200.7948222452041</v>
      </c>
      <c r="AC86" s="209">
        <f ca="1">AC75*'Commodity Price Assumptions'!$O$122/1000</f>
        <v>191.51251135122507</v>
      </c>
      <c r="AD86" s="209">
        <f ca="1">AD75*'Commodity Price Assumptions'!$O$122/1000</f>
        <v>182.99962097117071</v>
      </c>
      <c r="AE86" s="209">
        <f ca="1">AE75*'Commodity Price Assumptions'!$O$122/1000</f>
        <v>175.12344070484511</v>
      </c>
      <c r="AF86" s="209">
        <f ca="1">AF75*'Commodity Price Assumptions'!$O$122/1000</f>
        <v>167.84369242277279</v>
      </c>
      <c r="AG86" s="209">
        <f ca="1">AG75*'Commodity Price Assumptions'!$O$122/1000</f>
        <v>161.06108184377405</v>
      </c>
      <c r="AH86" s="209">
        <f ca="1">AH75*'Commodity Price Assumptions'!$O$122/1000</f>
        <v>154.61863857002302</v>
      </c>
      <c r="AI86" s="209">
        <f ca="1">AI75*'Commodity Price Assumptions'!$O$122/1000</f>
        <v>148.4338930272221</v>
      </c>
      <c r="AJ86" s="209">
        <f ca="1">AJ75*'Commodity Price Assumptions'!$O$122/1000</f>
        <v>142.49653730613323</v>
      </c>
      <c r="AK86" s="209">
        <f ca="1">AK75*'Commodity Price Assumptions'!$O$122/1000</f>
        <v>136.7966758138879</v>
      </c>
      <c r="AL86" s="209">
        <f ca="1">AL75*'Commodity Price Assumptions'!$O$122/1000</f>
        <v>131.32480878133239</v>
      </c>
      <c r="AM86" s="209">
        <f ca="1">AM75*'Commodity Price Assumptions'!$O$122/1000</f>
        <v>125.17408198005647</v>
      </c>
      <c r="AN86" s="209">
        <f ca="1">AN75*'Commodity Price Assumptions'!$O$122/1000</f>
        <v>112.36049712382446</v>
      </c>
      <c r="AO86" s="209">
        <f ca="1">AO75*'Commodity Price Assumptions'!$O$122/1000</f>
        <v>94.048302984857301</v>
      </c>
      <c r="AP86" s="209">
        <f ca="1">AP75*'Commodity Price Assumptions'!$O$122/1000</f>
        <v>76.468596611448817</v>
      </c>
      <c r="AQ86" s="209">
        <f ca="1">AQ75*'Commodity Price Assumptions'!$O$122/1000</f>
        <v>59.592078492976682</v>
      </c>
      <c r="AR86" s="209">
        <f ca="1">AR75*'Commodity Price Assumptions'!$O$122/1000</f>
        <v>43.39062109924344</v>
      </c>
      <c r="AS86" s="209">
        <f ca="1">AS75*'Commodity Price Assumptions'!$O$122/1000</f>
        <v>27.837222001259512</v>
      </c>
      <c r="AT86" s="209">
        <f ca="1">AT75*'Commodity Price Assumptions'!$O$122/1000</f>
        <v>13.340480839776397</v>
      </c>
      <c r="AU86" s="209">
        <f ca="1">AU75*'Commodity Price Assumptions'!$O$122/1000</f>
        <v>3.2308655366120878</v>
      </c>
    </row>
    <row r="88" spans="2:47">
      <c r="C88" s="41" t="s">
        <v>46</v>
      </c>
      <c r="D88" s="42" t="s">
        <v>258</v>
      </c>
      <c r="E88" s="42"/>
      <c r="F88" s="175"/>
      <c r="G88" s="175"/>
      <c r="H88" s="175"/>
      <c r="I88" s="175"/>
      <c r="J88" s="50"/>
      <c r="K88" s="175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</row>
    <row r="90" spans="2:47">
      <c r="G90" s="22" t="s">
        <v>256</v>
      </c>
      <c r="L90" s="209">
        <f ca="1">L76*'Commodity Price Assumptions'!$O$23/1000</f>
        <v>9.1246883749999999</v>
      </c>
      <c r="M90" s="209">
        <f ca="1">M76*'Commodity Price Assumptions'!$O$23/1000</f>
        <v>24.08917731</v>
      </c>
      <c r="N90" s="209">
        <f ca="1">N76*'Commodity Price Assumptions'!$O$23/1000</f>
        <v>34.834410340400005</v>
      </c>
      <c r="O90" s="209">
        <f ca="1">O76*'Commodity Price Assumptions'!$O$23/1000</f>
        <v>44.007569060047999</v>
      </c>
      <c r="P90" s="209">
        <f ca="1">P76*'Commodity Price Assumptions'!$O$23/1000</f>
        <v>52.116248933619204</v>
      </c>
      <c r="Q90" s="209">
        <f ca="1">Q76*'Commodity Price Assumptions'!$O$23/1000</f>
        <v>59.414060819833267</v>
      </c>
      <c r="R90" s="209">
        <f ca="1">R76*'Commodity Price Assumptions'!$O$23/1000</f>
        <v>66.016660100044859</v>
      </c>
      <c r="S90" s="209">
        <f ca="1">S76*'Commodity Price Assumptions'!$O$23/1000</f>
        <v>67.639945657838936</v>
      </c>
      <c r="T90" s="209">
        <f ca="1">T76*'Commodity Price Assumptions'!$O$23/1000</f>
        <v>61.274251228644914</v>
      </c>
      <c r="U90" s="209">
        <f ca="1">U76*'Commodity Price Assumptions'!$O$23/1000</f>
        <v>53.573471363348055</v>
      </c>
      <c r="V90" s="209">
        <f ca="1">V76*'Commodity Price Assumptions'!$O$23/1000</f>
        <v>48.52266688960998</v>
      </c>
      <c r="W90" s="209">
        <f ca="1">W76*'Commodity Price Assumptions'!$O$23/1000</f>
        <v>44.551574452378226</v>
      </c>
      <c r="X90" s="209">
        <f ca="1">X76*'Commodity Price Assumptions'!$O$23/1000</f>
        <v>41.287866150372245</v>
      </c>
      <c r="Y90" s="209">
        <f ca="1">Y76*'Commodity Price Assumptions'!$O$23/1000</f>
        <v>38.55642151010148</v>
      </c>
      <c r="Z90" s="209">
        <f ca="1">Z76*'Commodity Price Assumptions'!$O$23/1000</f>
        <v>36.265201241774314</v>
      </c>
      <c r="AA90" s="209">
        <f ca="1">AA76*'Commodity Price Assumptions'!$O$23/1000</f>
        <v>34.322666662346165</v>
      </c>
      <c r="AB90" s="209">
        <f ca="1">AB76*'Commodity Price Assumptions'!$O$23/1000</f>
        <v>32.635636210616191</v>
      </c>
      <c r="AC90" s="209">
        <f ca="1">AC76*'Commodity Price Assumptions'!$O$23/1000</f>
        <v>31.126961245084441</v>
      </c>
      <c r="AD90" s="209">
        <f ca="1">AD76*'Commodity Price Assumptions'!$O$23/1000</f>
        <v>29.743341934398025</v>
      </c>
      <c r="AE90" s="209">
        <f ca="1">AE76*'Commodity Price Assumptions'!$O$23/1000</f>
        <v>28.4632085573175</v>
      </c>
      <c r="AF90" s="209">
        <f ca="1">AF76*'Commodity Price Assumptions'!$O$23/1000</f>
        <v>27.280014618439708</v>
      </c>
      <c r="AG90" s="209">
        <f ca="1">AG76*'Commodity Price Assumptions'!$O$23/1000</f>
        <v>26.177621593861769</v>
      </c>
      <c r="AH90" s="209">
        <f ca="1">AH76*'Commodity Price Assumptions'!$O$23/1000</f>
        <v>25.130516730107292</v>
      </c>
      <c r="AI90" s="209">
        <f ca="1">AI76*'Commodity Price Assumptions'!$O$23/1000</f>
        <v>24.125296060902993</v>
      </c>
      <c r="AJ90" s="209">
        <f ca="1">AJ76*'Commodity Price Assumptions'!$O$23/1000</f>
        <v>23.160284218466881</v>
      </c>
      <c r="AK90" s="209">
        <f ca="1">AK76*'Commodity Price Assumptions'!$O$23/1000</f>
        <v>22.233872849728204</v>
      </c>
      <c r="AL90" s="209">
        <f ca="1">AL76*'Commodity Price Assumptions'!$O$23/1000</f>
        <v>21.344517935739077</v>
      </c>
      <c r="AM90" s="209">
        <f ca="1">AM76*'Commodity Price Assumptions'!$O$23/1000</f>
        <v>20.34482640946954</v>
      </c>
      <c r="AN90" s="209">
        <f ca="1">AN76*'Commodity Price Assumptions'!$O$23/1000</f>
        <v>18.262205506968474</v>
      </c>
      <c r="AO90" s="209">
        <f ca="1">AO76*'Commodity Price Assumptions'!$O$23/1000</f>
        <v>15.285883212125114</v>
      </c>
      <c r="AP90" s="209">
        <f ca="1">AP76*'Commodity Price Assumptions'!$O$23/1000</f>
        <v>12.428613809075486</v>
      </c>
      <c r="AQ90" s="209">
        <f ca="1">AQ76*'Commodity Price Assumptions'!$O$23/1000</f>
        <v>9.6856351821478466</v>
      </c>
      <c r="AR90" s="209">
        <f ca="1">AR76*'Commodity Price Assumptions'!$O$23/1000</f>
        <v>7.0523757002973149</v>
      </c>
      <c r="AS90" s="209">
        <f ca="1">AS76*'Commodity Price Assumptions'!$O$23/1000</f>
        <v>4.5244465977208019</v>
      </c>
      <c r="AT90" s="209">
        <f ca="1">AT76*'Commodity Price Assumptions'!$O$23/1000</f>
        <v>2.1682584973728671</v>
      </c>
      <c r="AU90" s="209">
        <f ca="1">AU76*'Commodity Price Assumptions'!$O$23/1000</f>
        <v>0.52511987669446902</v>
      </c>
    </row>
    <row r="93" spans="2:47">
      <c r="B93" s="37" t="s">
        <v>192</v>
      </c>
      <c r="C93" s="36" t="s">
        <v>259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5" spans="2:47">
      <c r="C95" s="41" t="s">
        <v>21</v>
      </c>
      <c r="D95" s="42" t="s">
        <v>260</v>
      </c>
      <c r="E95" s="42"/>
      <c r="F95" s="175"/>
      <c r="G95" s="175"/>
      <c r="H95" s="175"/>
      <c r="I95" s="175"/>
      <c r="J95" s="50"/>
      <c r="K95" s="175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</row>
    <row r="97" spans="3:47">
      <c r="E97" s="22" t="s">
        <v>261</v>
      </c>
      <c r="G97" s="22" t="s">
        <v>72</v>
      </c>
      <c r="L97" s="214">
        <f>'Inputs &amp; Assumptions'!$L$73</f>
        <v>0.04</v>
      </c>
      <c r="M97" s="214">
        <f>'Inputs &amp; Assumptions'!$L$73</f>
        <v>0.04</v>
      </c>
      <c r="N97" s="214">
        <f>'Inputs &amp; Assumptions'!$L$73</f>
        <v>0.04</v>
      </c>
      <c r="O97" s="214">
        <f>'Inputs &amp; Assumptions'!$L$73</f>
        <v>0.04</v>
      </c>
      <c r="P97" s="214">
        <f>'Inputs &amp; Assumptions'!$L$73</f>
        <v>0.04</v>
      </c>
      <c r="Q97" s="214">
        <f>'Inputs &amp; Assumptions'!$L$73</f>
        <v>0.04</v>
      </c>
      <c r="R97" s="214">
        <f>'Inputs &amp; Assumptions'!$L$73</f>
        <v>0.04</v>
      </c>
      <c r="S97" s="214">
        <f>'Inputs &amp; Assumptions'!$L$73</f>
        <v>0.04</v>
      </c>
      <c r="T97" s="214">
        <f>'Inputs &amp; Assumptions'!$L$73</f>
        <v>0.04</v>
      </c>
      <c r="U97" s="214">
        <f>'Inputs &amp; Assumptions'!$L$73</f>
        <v>0.04</v>
      </c>
      <c r="V97" s="214">
        <f>'Inputs &amp; Assumptions'!$L$73</f>
        <v>0.04</v>
      </c>
      <c r="W97" s="214">
        <f>'Inputs &amp; Assumptions'!$L$73</f>
        <v>0.04</v>
      </c>
      <c r="X97" s="214">
        <f>'Inputs &amp; Assumptions'!$L$73</f>
        <v>0.04</v>
      </c>
      <c r="Y97" s="214">
        <f>'Inputs &amp; Assumptions'!$L$73</f>
        <v>0.04</v>
      </c>
      <c r="Z97" s="214">
        <f>'Inputs &amp; Assumptions'!$L$73</f>
        <v>0.04</v>
      </c>
      <c r="AA97" s="214">
        <f>'Inputs &amp; Assumptions'!$L$73</f>
        <v>0.04</v>
      </c>
      <c r="AB97" s="214">
        <f>'Inputs &amp; Assumptions'!$L$73</f>
        <v>0.04</v>
      </c>
      <c r="AC97" s="214">
        <f>'Inputs &amp; Assumptions'!$L$73</f>
        <v>0.04</v>
      </c>
      <c r="AD97" s="214">
        <f>'Inputs &amp; Assumptions'!$L$73</f>
        <v>0.04</v>
      </c>
      <c r="AE97" s="214">
        <f>'Inputs &amp; Assumptions'!$L$73</f>
        <v>0.04</v>
      </c>
      <c r="AF97" s="214">
        <f>'Inputs &amp; Assumptions'!$L$73</f>
        <v>0.04</v>
      </c>
      <c r="AG97" s="214">
        <f>'Inputs &amp; Assumptions'!$L$73</f>
        <v>0.04</v>
      </c>
      <c r="AH97" s="214">
        <f>'Inputs &amp; Assumptions'!$L$73</f>
        <v>0.04</v>
      </c>
      <c r="AI97" s="214">
        <f>'Inputs &amp; Assumptions'!$L$73</f>
        <v>0.04</v>
      </c>
      <c r="AJ97" s="214">
        <f>'Inputs &amp; Assumptions'!$L$73</f>
        <v>0.04</v>
      </c>
      <c r="AK97" s="214">
        <f>'Inputs &amp; Assumptions'!$L$73</f>
        <v>0.04</v>
      </c>
      <c r="AL97" s="214">
        <f>'Inputs &amp; Assumptions'!$L$73</f>
        <v>0.04</v>
      </c>
      <c r="AM97" s="214">
        <f>'Inputs &amp; Assumptions'!$L$73</f>
        <v>0.04</v>
      </c>
      <c r="AN97" s="214">
        <f>'Inputs &amp; Assumptions'!$L$73</f>
        <v>0.04</v>
      </c>
      <c r="AO97" s="214">
        <f>'Inputs &amp; Assumptions'!$L$73</f>
        <v>0.04</v>
      </c>
      <c r="AP97" s="214">
        <f>'Inputs &amp; Assumptions'!$L$73</f>
        <v>0.04</v>
      </c>
      <c r="AQ97" s="214">
        <f>'Inputs &amp; Assumptions'!$L$73</f>
        <v>0.04</v>
      </c>
      <c r="AR97" s="214">
        <f>'Inputs &amp; Assumptions'!$L$73</f>
        <v>0.04</v>
      </c>
      <c r="AS97" s="214">
        <f>'Inputs &amp; Assumptions'!$L$73</f>
        <v>0.04</v>
      </c>
      <c r="AT97" s="214">
        <f>'Inputs &amp; Assumptions'!$L$73</f>
        <v>0.04</v>
      </c>
      <c r="AU97" s="214">
        <f>'Inputs &amp; Assumptions'!$L$73</f>
        <v>0.04</v>
      </c>
    </row>
    <row r="99" spans="3:47">
      <c r="E99" s="22" t="s">
        <v>262</v>
      </c>
      <c r="G99" s="22" t="s">
        <v>77</v>
      </c>
      <c r="L99" s="214">
        <f ca="1">L97*L73/1000</f>
        <v>2.0624999999999996</v>
      </c>
      <c r="M99" s="214">
        <f t="shared" ref="M99:AO99" ca="1" si="87">M97*M73/1000</f>
        <v>5.4449999999999994</v>
      </c>
      <c r="N99" s="214">
        <f t="shared" ca="1" si="87"/>
        <v>7.8737999999999992</v>
      </c>
      <c r="O99" s="214">
        <f t="shared" ca="1" si="87"/>
        <v>9.9472559999999994</v>
      </c>
      <c r="P99" s="214">
        <f t="shared" ca="1" si="87"/>
        <v>11.780102399999999</v>
      </c>
      <c r="Q99" s="214">
        <f t="shared" ca="1" si="87"/>
        <v>13.429664159999998</v>
      </c>
      <c r="R99" s="214">
        <f t="shared" ca="1" si="87"/>
        <v>14.922083457599998</v>
      </c>
      <c r="S99" s="214">
        <f t="shared" ca="1" si="87"/>
        <v>15.289002997791998</v>
      </c>
      <c r="T99" s="214">
        <f t="shared" ca="1" si="87"/>
        <v>13.850132515794558</v>
      </c>
      <c r="U99" s="214">
        <f t="shared" ca="1" si="87"/>
        <v>12.109485841691045</v>
      </c>
      <c r="V99" s="214">
        <f t="shared" ca="1" si="87"/>
        <v>10.967826663978604</v>
      </c>
      <c r="W99" s="214">
        <f t="shared" ca="1" si="87"/>
        <v>10.070220322239781</v>
      </c>
      <c r="X99" s="214">
        <f t="shared" ca="1" si="87"/>
        <v>9.3325076359271026</v>
      </c>
      <c r="Y99" s="214">
        <f t="shared" ca="1" si="87"/>
        <v>8.7151052284110779</v>
      </c>
      <c r="Z99" s="214">
        <f t="shared" ca="1" si="87"/>
        <v>8.1972089880997761</v>
      </c>
      <c r="AA99" s="214">
        <f t="shared" ca="1" si="87"/>
        <v>7.7581279581056339</v>
      </c>
      <c r="AB99" s="214">
        <f t="shared" ca="1" si="87"/>
        <v>7.3767998333856406</v>
      </c>
      <c r="AC99" s="214">
        <f t="shared" ca="1" si="87"/>
        <v>7.0357863117694297</v>
      </c>
      <c r="AD99" s="214">
        <f t="shared" ca="1" si="87"/>
        <v>6.7230397596669622</v>
      </c>
      <c r="AE99" s="214">
        <f t="shared" ca="1" si="87"/>
        <v>6.4336846626246933</v>
      </c>
      <c r="AF99" s="214">
        <f t="shared" ca="1" si="87"/>
        <v>6.1662412827914128</v>
      </c>
      <c r="AG99" s="214">
        <f t="shared" ca="1" si="87"/>
        <v>5.917061747036362</v>
      </c>
      <c r="AH99" s="214">
        <f t="shared" ca="1" si="87"/>
        <v>5.6803792771549073</v>
      </c>
      <c r="AI99" s="214">
        <f t="shared" ca="1" si="87"/>
        <v>5.4531641060687095</v>
      </c>
      <c r="AJ99" s="214">
        <f t="shared" ca="1" si="87"/>
        <v>5.2350375418259629</v>
      </c>
      <c r="AK99" s="214">
        <f t="shared" ca="1" si="87"/>
        <v>5.0256360401529241</v>
      </c>
      <c r="AL99" s="214">
        <f t="shared" ca="1" si="87"/>
        <v>4.8246105985468075</v>
      </c>
      <c r="AM99" s="214">
        <f t="shared" ca="1" si="87"/>
        <v>4.5986452079280928</v>
      </c>
      <c r="AN99" s="214">
        <f t="shared" ca="1" si="87"/>
        <v>4.1278997495761027</v>
      </c>
      <c r="AO99" s="214">
        <f t="shared" ca="1" si="87"/>
        <v>3.4551463928770114</v>
      </c>
      <c r="AP99" s="214">
        <f t="shared" ref="AP99:AU99" ca="1" si="88">AP97*AP73/1000</f>
        <v>2.8093031704458826</v>
      </c>
      <c r="AQ99" s="214">
        <f t="shared" ca="1" si="88"/>
        <v>2.1892936769119999</v>
      </c>
      <c r="AR99" s="214">
        <f t="shared" ca="1" si="88"/>
        <v>1.5940845631194731</v>
      </c>
      <c r="AS99" s="214">
        <f t="shared" ca="1" si="88"/>
        <v>1.0226838138786467</v>
      </c>
      <c r="AT99" s="214">
        <f t="shared" ca="1" si="88"/>
        <v>0.49010256208684355</v>
      </c>
      <c r="AU99" s="214">
        <f t="shared" ca="1" si="88"/>
        <v>0.11869553251262041</v>
      </c>
    </row>
    <row r="101" spans="3:47">
      <c r="C101" s="41" t="s">
        <v>198</v>
      </c>
      <c r="D101" s="42" t="s">
        <v>263</v>
      </c>
      <c r="E101" s="42"/>
      <c r="F101" s="175"/>
      <c r="G101" s="175"/>
      <c r="H101" s="175"/>
      <c r="I101" s="175"/>
      <c r="J101" s="50"/>
      <c r="K101" s="175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</row>
    <row r="103" spans="3:47">
      <c r="E103" s="22" t="s">
        <v>261</v>
      </c>
      <c r="G103" s="22" t="s">
        <v>72</v>
      </c>
      <c r="L103" s="214">
        <f>'Inputs &amp; Assumptions'!$L$74</f>
        <v>0.14000000000000001</v>
      </c>
      <c r="M103" s="214">
        <f>'Inputs &amp; Assumptions'!$L$74</f>
        <v>0.14000000000000001</v>
      </c>
      <c r="N103" s="214">
        <f>'Inputs &amp; Assumptions'!$L$74</f>
        <v>0.14000000000000001</v>
      </c>
      <c r="O103" s="214">
        <f>'Inputs &amp; Assumptions'!$L$74</f>
        <v>0.14000000000000001</v>
      </c>
      <c r="P103" s="214">
        <f>'Inputs &amp; Assumptions'!$L$74</f>
        <v>0.14000000000000001</v>
      </c>
      <c r="Q103" s="214">
        <f>'Inputs &amp; Assumptions'!$L$74</f>
        <v>0.14000000000000001</v>
      </c>
      <c r="R103" s="214">
        <f>'Inputs &amp; Assumptions'!$L$74</f>
        <v>0.14000000000000001</v>
      </c>
      <c r="S103" s="214">
        <f>'Inputs &amp; Assumptions'!$L$74</f>
        <v>0.14000000000000001</v>
      </c>
      <c r="T103" s="214">
        <f>'Inputs &amp; Assumptions'!$L$74</f>
        <v>0.14000000000000001</v>
      </c>
      <c r="U103" s="214">
        <f>'Inputs &amp; Assumptions'!$L$74</f>
        <v>0.14000000000000001</v>
      </c>
      <c r="V103" s="214">
        <f>'Inputs &amp; Assumptions'!$L$74</f>
        <v>0.14000000000000001</v>
      </c>
      <c r="W103" s="214">
        <f>'Inputs &amp; Assumptions'!$L$74</f>
        <v>0.14000000000000001</v>
      </c>
      <c r="X103" s="214">
        <f>'Inputs &amp; Assumptions'!$L$74</f>
        <v>0.14000000000000001</v>
      </c>
      <c r="Y103" s="214">
        <f>'Inputs &amp; Assumptions'!$L$74</f>
        <v>0.14000000000000001</v>
      </c>
      <c r="Z103" s="214">
        <f>'Inputs &amp; Assumptions'!$L$74</f>
        <v>0.14000000000000001</v>
      </c>
      <c r="AA103" s="214">
        <f>'Inputs &amp; Assumptions'!$L$74</f>
        <v>0.14000000000000001</v>
      </c>
      <c r="AB103" s="214">
        <f>'Inputs &amp; Assumptions'!$L$74</f>
        <v>0.14000000000000001</v>
      </c>
      <c r="AC103" s="214">
        <f>'Inputs &amp; Assumptions'!$L$74</f>
        <v>0.14000000000000001</v>
      </c>
      <c r="AD103" s="214">
        <f>'Inputs &amp; Assumptions'!$L$74</f>
        <v>0.14000000000000001</v>
      </c>
      <c r="AE103" s="214">
        <f>'Inputs &amp; Assumptions'!$L$74</f>
        <v>0.14000000000000001</v>
      </c>
      <c r="AF103" s="214">
        <f>'Inputs &amp; Assumptions'!$L$74</f>
        <v>0.14000000000000001</v>
      </c>
      <c r="AG103" s="214">
        <f>'Inputs &amp; Assumptions'!$L$74</f>
        <v>0.14000000000000001</v>
      </c>
      <c r="AH103" s="214">
        <f>'Inputs &amp; Assumptions'!$L$74</f>
        <v>0.14000000000000001</v>
      </c>
      <c r="AI103" s="214">
        <f>'Inputs &amp; Assumptions'!$L$74</f>
        <v>0.14000000000000001</v>
      </c>
      <c r="AJ103" s="214">
        <f>'Inputs &amp; Assumptions'!$L$74</f>
        <v>0.14000000000000001</v>
      </c>
      <c r="AK103" s="214">
        <f>'Inputs &amp; Assumptions'!$L$74</f>
        <v>0.14000000000000001</v>
      </c>
      <c r="AL103" s="214">
        <f>'Inputs &amp; Assumptions'!$L$74</f>
        <v>0.14000000000000001</v>
      </c>
      <c r="AM103" s="214">
        <f>'Inputs &amp; Assumptions'!$L$74</f>
        <v>0.14000000000000001</v>
      </c>
      <c r="AN103" s="214">
        <f>'Inputs &amp; Assumptions'!$L$74</f>
        <v>0.14000000000000001</v>
      </c>
      <c r="AO103" s="214">
        <f>'Inputs &amp; Assumptions'!$L$74</f>
        <v>0.14000000000000001</v>
      </c>
      <c r="AP103" s="214">
        <f>'Inputs &amp; Assumptions'!$L$74</f>
        <v>0.14000000000000001</v>
      </c>
      <c r="AQ103" s="214">
        <f>'Inputs &amp; Assumptions'!$L$74</f>
        <v>0.14000000000000001</v>
      </c>
      <c r="AR103" s="214">
        <f>'Inputs &amp; Assumptions'!$L$74</f>
        <v>0.14000000000000001</v>
      </c>
      <c r="AS103" s="214">
        <f>'Inputs &amp; Assumptions'!$L$74</f>
        <v>0.14000000000000001</v>
      </c>
      <c r="AT103" s="214">
        <f>'Inputs &amp; Assumptions'!$L$74</f>
        <v>0.14000000000000001</v>
      </c>
      <c r="AU103" s="214">
        <f>'Inputs &amp; Assumptions'!$L$74</f>
        <v>0.14000000000000001</v>
      </c>
    </row>
    <row r="104" spans="3:47">
      <c r="AN104" s="22" t="s">
        <v>264</v>
      </c>
    </row>
    <row r="105" spans="3:47">
      <c r="E105" s="22" t="s">
        <v>262</v>
      </c>
      <c r="G105" s="22" t="s">
        <v>77</v>
      </c>
      <c r="L105" s="214">
        <f ca="1">L103*L73/1000</f>
        <v>7.21875</v>
      </c>
      <c r="M105" s="214">
        <f t="shared" ref="M105:AO105" ca="1" si="89">M103*M73/1000</f>
        <v>19.057499999999997</v>
      </c>
      <c r="N105" s="214">
        <f t="shared" ca="1" si="89"/>
        <v>27.558299999999999</v>
      </c>
      <c r="O105" s="214">
        <f t="shared" ca="1" si="89"/>
        <v>34.815396</v>
      </c>
      <c r="P105" s="214">
        <f t="shared" ca="1" si="89"/>
        <v>41.2303584</v>
      </c>
      <c r="Q105" s="214">
        <f t="shared" ca="1" si="89"/>
        <v>47.003824559999991</v>
      </c>
      <c r="R105" s="214">
        <f t="shared" ca="1" si="89"/>
        <v>52.2272921016</v>
      </c>
      <c r="S105" s="214">
        <f t="shared" ca="1" si="89"/>
        <v>53.511510492271995</v>
      </c>
      <c r="T105" s="214">
        <f t="shared" ca="1" si="89"/>
        <v>48.47546380528096</v>
      </c>
      <c r="U105" s="214">
        <f t="shared" ca="1" si="89"/>
        <v>42.383200445918661</v>
      </c>
      <c r="V105" s="214">
        <f t="shared" ca="1" si="89"/>
        <v>38.38739332392511</v>
      </c>
      <c r="W105" s="214">
        <f t="shared" ca="1" si="89"/>
        <v>35.245771127839234</v>
      </c>
      <c r="X105" s="214">
        <f t="shared" ca="1" si="89"/>
        <v>32.66377672574486</v>
      </c>
      <c r="Y105" s="214">
        <f t="shared" ca="1" si="89"/>
        <v>30.502868299438774</v>
      </c>
      <c r="Z105" s="214">
        <f t="shared" ca="1" si="89"/>
        <v>28.690231458349214</v>
      </c>
      <c r="AA105" s="214">
        <f t="shared" ca="1" si="89"/>
        <v>27.153447853369723</v>
      </c>
      <c r="AB105" s="214">
        <f t="shared" ca="1" si="89"/>
        <v>25.818799416849743</v>
      </c>
      <c r="AC105" s="214">
        <f t="shared" ca="1" si="89"/>
        <v>24.625252091193005</v>
      </c>
      <c r="AD105" s="214">
        <f t="shared" ca="1" si="89"/>
        <v>23.530639158834369</v>
      </c>
      <c r="AE105" s="214">
        <f t="shared" ca="1" si="89"/>
        <v>22.517896319186427</v>
      </c>
      <c r="AF105" s="214">
        <f t="shared" ca="1" si="89"/>
        <v>21.581844489769946</v>
      </c>
      <c r="AG105" s="214">
        <f t="shared" ca="1" si="89"/>
        <v>20.70971611462727</v>
      </c>
      <c r="AH105" s="214">
        <f t="shared" ca="1" si="89"/>
        <v>19.881327470042176</v>
      </c>
      <c r="AI105" s="214">
        <f t="shared" ca="1" si="89"/>
        <v>19.086074371240489</v>
      </c>
      <c r="AJ105" s="214">
        <f t="shared" ca="1" si="89"/>
        <v>18.322631396390868</v>
      </c>
      <c r="AK105" s="214">
        <f t="shared" ca="1" si="89"/>
        <v>17.589726140535234</v>
      </c>
      <c r="AL105" s="214">
        <f t="shared" ca="1" si="89"/>
        <v>16.886137094913824</v>
      </c>
      <c r="AM105" s="214">
        <f t="shared" ca="1" si="89"/>
        <v>16.095258227748324</v>
      </c>
      <c r="AN105" s="214">
        <f t="shared" ca="1" si="89"/>
        <v>14.44764912351636</v>
      </c>
      <c r="AO105" s="214">
        <f t="shared" ca="1" si="89"/>
        <v>12.09301237506954</v>
      </c>
      <c r="AP105" s="214">
        <f t="shared" ref="AP105:AU105" ca="1" si="90">AP103*AP73/1000</f>
        <v>9.8325610965605907</v>
      </c>
      <c r="AQ105" s="214">
        <f t="shared" ca="1" si="90"/>
        <v>7.6625278691920009</v>
      </c>
      <c r="AR105" s="214">
        <f t="shared" ca="1" si="90"/>
        <v>5.5792959709181567</v>
      </c>
      <c r="AS105" s="214">
        <f t="shared" ca="1" si="90"/>
        <v>3.5793933485752643</v>
      </c>
      <c r="AT105" s="214">
        <f t="shared" ca="1" si="90"/>
        <v>1.7153589673039527</v>
      </c>
      <c r="AU105" s="214">
        <f t="shared" ca="1" si="90"/>
        <v>0.41543436379417148</v>
      </c>
    </row>
    <row r="107" spans="3:47">
      <c r="C107" s="41" t="s">
        <v>46</v>
      </c>
      <c r="D107" s="42" t="s">
        <v>265</v>
      </c>
      <c r="E107" s="42"/>
      <c r="F107" s="175"/>
      <c r="G107" s="175"/>
      <c r="H107" s="175"/>
      <c r="I107" s="175"/>
      <c r="J107" s="50"/>
      <c r="K107" s="175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</row>
    <row r="108" spans="3:47">
      <c r="AF108" s="22" t="s">
        <v>266</v>
      </c>
    </row>
    <row r="109" spans="3:47">
      <c r="E109" s="22" t="s">
        <v>261</v>
      </c>
      <c r="G109" s="22" t="s">
        <v>72</v>
      </c>
      <c r="L109" s="214">
        <f>'Inputs &amp; Assumptions'!$L$75</f>
        <v>1.6419999999999999</v>
      </c>
      <c r="M109" s="214">
        <f>'Inputs &amp; Assumptions'!$L$75</f>
        <v>1.6419999999999999</v>
      </c>
      <c r="N109" s="214">
        <f>'Inputs &amp; Assumptions'!$L$75</f>
        <v>1.6419999999999999</v>
      </c>
      <c r="O109" s="214">
        <f>'Inputs &amp; Assumptions'!$L$75</f>
        <v>1.6419999999999999</v>
      </c>
      <c r="P109" s="214">
        <f>'Inputs &amp; Assumptions'!$L$75</f>
        <v>1.6419999999999999</v>
      </c>
      <c r="Q109" s="214">
        <f>'Inputs &amp; Assumptions'!$L$75</f>
        <v>1.6419999999999999</v>
      </c>
      <c r="R109" s="214">
        <f>'Inputs &amp; Assumptions'!$L$75</f>
        <v>1.6419999999999999</v>
      </c>
      <c r="S109" s="214">
        <f>'Inputs &amp; Assumptions'!$L$75</f>
        <v>1.6419999999999999</v>
      </c>
      <c r="T109" s="214">
        <f>'Inputs &amp; Assumptions'!$L$75</f>
        <v>1.6419999999999999</v>
      </c>
      <c r="U109" s="214">
        <f>'Inputs &amp; Assumptions'!$L$75</f>
        <v>1.6419999999999999</v>
      </c>
      <c r="V109" s="214">
        <f>'Inputs &amp; Assumptions'!$L$75</f>
        <v>1.6419999999999999</v>
      </c>
      <c r="W109" s="214">
        <f>'Inputs &amp; Assumptions'!$L$75</f>
        <v>1.6419999999999999</v>
      </c>
      <c r="X109" s="214">
        <f>'Inputs &amp; Assumptions'!$L$75</f>
        <v>1.6419999999999999</v>
      </c>
      <c r="Y109" s="214">
        <f>'Inputs &amp; Assumptions'!$L$75</f>
        <v>1.6419999999999999</v>
      </c>
      <c r="Z109" s="214">
        <f>'Inputs &amp; Assumptions'!$L$75</f>
        <v>1.6419999999999999</v>
      </c>
      <c r="AA109" s="214">
        <f>'Inputs &amp; Assumptions'!$L$75</f>
        <v>1.6419999999999999</v>
      </c>
      <c r="AB109" s="214">
        <f>'Inputs &amp; Assumptions'!$L$75</f>
        <v>1.6419999999999999</v>
      </c>
      <c r="AC109" s="214">
        <f>'Inputs &amp; Assumptions'!$L$75</f>
        <v>1.6419999999999999</v>
      </c>
      <c r="AD109" s="214">
        <f>'Inputs &amp; Assumptions'!$L$75</f>
        <v>1.6419999999999999</v>
      </c>
      <c r="AE109" s="214">
        <f>'Inputs &amp; Assumptions'!$L$75</f>
        <v>1.6419999999999999</v>
      </c>
      <c r="AF109" s="214">
        <f>'Inputs &amp; Assumptions'!$L$75</f>
        <v>1.6419999999999999</v>
      </c>
      <c r="AG109" s="214">
        <f>'Inputs &amp; Assumptions'!$L$75</f>
        <v>1.6419999999999999</v>
      </c>
      <c r="AH109" s="214">
        <f>'Inputs &amp; Assumptions'!$L$75</f>
        <v>1.6419999999999999</v>
      </c>
      <c r="AI109" s="214">
        <f>'Inputs &amp; Assumptions'!$L$75</f>
        <v>1.6419999999999999</v>
      </c>
      <c r="AJ109" s="214">
        <f>'Inputs &amp; Assumptions'!$L$75</f>
        <v>1.6419999999999999</v>
      </c>
      <c r="AK109" s="214">
        <f>'Inputs &amp; Assumptions'!$L$75</f>
        <v>1.6419999999999999</v>
      </c>
      <c r="AL109" s="214">
        <f>'Inputs &amp; Assumptions'!$L$75</f>
        <v>1.6419999999999999</v>
      </c>
      <c r="AM109" s="214">
        <f>'Inputs &amp; Assumptions'!$L$75</f>
        <v>1.6419999999999999</v>
      </c>
      <c r="AN109" s="214">
        <f>'Inputs &amp; Assumptions'!$L$75</f>
        <v>1.6419999999999999</v>
      </c>
      <c r="AO109" s="214">
        <f>'Inputs &amp; Assumptions'!$L$75</f>
        <v>1.6419999999999999</v>
      </c>
      <c r="AP109" s="214">
        <f>'Inputs &amp; Assumptions'!$L$75</f>
        <v>1.6419999999999999</v>
      </c>
      <c r="AQ109" s="214">
        <f>'Inputs &amp; Assumptions'!$L$75</f>
        <v>1.6419999999999999</v>
      </c>
      <c r="AR109" s="214">
        <f>'Inputs &amp; Assumptions'!$L$75</f>
        <v>1.6419999999999999</v>
      </c>
      <c r="AS109" s="214">
        <f>'Inputs &amp; Assumptions'!$L$75</f>
        <v>1.6419999999999999</v>
      </c>
      <c r="AT109" s="214">
        <f>'Inputs &amp; Assumptions'!$L$75</f>
        <v>1.6419999999999999</v>
      </c>
      <c r="AU109" s="214">
        <f>'Inputs &amp; Assumptions'!$L$75</f>
        <v>1.6419999999999999</v>
      </c>
    </row>
    <row r="110" spans="3:47"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</row>
    <row r="111" spans="3:47">
      <c r="E111" s="22" t="s">
        <v>262</v>
      </c>
      <c r="G111" s="22" t="s">
        <v>77</v>
      </c>
      <c r="L111" s="214">
        <f ca="1">L109*L73/1000</f>
        <v>84.665624999999991</v>
      </c>
      <c r="M111" s="214">
        <f t="shared" ref="M111:AO111" ca="1" si="91">M109*M73/1000</f>
        <v>223.51724999999993</v>
      </c>
      <c r="N111" s="214">
        <f t="shared" ca="1" si="91"/>
        <v>323.21948999999995</v>
      </c>
      <c r="O111" s="214">
        <f t="shared" ca="1" si="91"/>
        <v>408.33485879999995</v>
      </c>
      <c r="P111" s="214">
        <f t="shared" ca="1" si="91"/>
        <v>483.57320351999988</v>
      </c>
      <c r="Q111" s="214">
        <f t="shared" ca="1" si="91"/>
        <v>551.28771376799989</v>
      </c>
      <c r="R111" s="214">
        <f t="shared" ca="1" si="91"/>
        <v>612.55152593447986</v>
      </c>
      <c r="S111" s="214">
        <f t="shared" ca="1" si="91"/>
        <v>627.61357305936144</v>
      </c>
      <c r="T111" s="214">
        <f t="shared" ca="1" si="91"/>
        <v>568.54793977336658</v>
      </c>
      <c r="U111" s="214">
        <f t="shared" ca="1" si="91"/>
        <v>497.09439380141737</v>
      </c>
      <c r="V111" s="214">
        <f t="shared" ca="1" si="91"/>
        <v>450.2292845563216</v>
      </c>
      <c r="W111" s="214">
        <f t="shared" ca="1" si="91"/>
        <v>413.38254422794296</v>
      </c>
      <c r="X111" s="214">
        <f t="shared" ca="1" si="91"/>
        <v>383.09943845480751</v>
      </c>
      <c r="Y111" s="214">
        <f t="shared" ca="1" si="91"/>
        <v>357.75506962627475</v>
      </c>
      <c r="Z111" s="214">
        <f t="shared" ca="1" si="91"/>
        <v>336.49542896149575</v>
      </c>
      <c r="AA111" s="214">
        <f t="shared" ca="1" si="91"/>
        <v>318.47115268023629</v>
      </c>
      <c r="AB111" s="214">
        <f t="shared" ca="1" si="91"/>
        <v>302.81763316048051</v>
      </c>
      <c r="AC111" s="214">
        <f t="shared" ca="1" si="91"/>
        <v>288.81902809813511</v>
      </c>
      <c r="AD111" s="214">
        <f t="shared" ca="1" si="91"/>
        <v>275.98078213432876</v>
      </c>
      <c r="AE111" s="214">
        <f t="shared" ca="1" si="91"/>
        <v>264.1027554007436</v>
      </c>
      <c r="AF111" s="214">
        <f t="shared" ca="1" si="91"/>
        <v>253.12420465858747</v>
      </c>
      <c r="AG111" s="214">
        <f t="shared" ca="1" si="91"/>
        <v>242.89538471584262</v>
      </c>
      <c r="AH111" s="214">
        <f t="shared" ca="1" si="91"/>
        <v>233.17956932720892</v>
      </c>
      <c r="AI111" s="214">
        <f t="shared" ca="1" si="91"/>
        <v>223.85238655412056</v>
      </c>
      <c r="AJ111" s="214">
        <f t="shared" ca="1" si="91"/>
        <v>214.89829109195574</v>
      </c>
      <c r="AK111" s="214">
        <f t="shared" ca="1" si="91"/>
        <v>206.30235944827751</v>
      </c>
      <c r="AL111" s="214">
        <f t="shared" ca="1" si="91"/>
        <v>198.05026507034643</v>
      </c>
      <c r="AM111" s="214">
        <f t="shared" ca="1" si="91"/>
        <v>188.7743857854482</v>
      </c>
      <c r="AN111" s="214">
        <f t="shared" ca="1" si="91"/>
        <v>169.45028472009901</v>
      </c>
      <c r="AO111" s="214">
        <f t="shared" ca="1" si="91"/>
        <v>141.83375942760131</v>
      </c>
      <c r="AP111" s="214">
        <f t="shared" ref="AP111:AU111" ca="1" si="92">AP109*AP73/1000</f>
        <v>115.32189514680348</v>
      </c>
      <c r="AQ111" s="214">
        <f t="shared" ca="1" si="92"/>
        <v>89.870505437237597</v>
      </c>
      <c r="AR111" s="214">
        <f t="shared" ca="1" si="92"/>
        <v>65.437171316054375</v>
      </c>
      <c r="AS111" s="214">
        <f t="shared" ca="1" si="92"/>
        <v>41.98117055971845</v>
      </c>
      <c r="AT111" s="214">
        <f t="shared" ca="1" si="92"/>
        <v>20.118710173664926</v>
      </c>
      <c r="AU111" s="214">
        <f t="shared" ca="1" si="92"/>
        <v>4.8724516096430683</v>
      </c>
    </row>
    <row r="114" spans="2:47">
      <c r="B114" s="37" t="s">
        <v>267</v>
      </c>
      <c r="C114" s="36" t="s">
        <v>268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6" spans="2:47">
      <c r="E116" s="22" t="s">
        <v>269</v>
      </c>
      <c r="L116" s="209">
        <f ca="1">SUM(L82:L90)-L111</f>
        <v>104.22094042325863</v>
      </c>
      <c r="M116" s="209">
        <f t="shared" ref="M116:AO116" ca="1" si="93">SUM(M82:M90)-M111</f>
        <v>275.14328271740271</v>
      </c>
      <c r="N116" s="209">
        <f t="shared" ca="1" si="93"/>
        <v>397.87386215983213</v>
      </c>
      <c r="O116" s="209">
        <f t="shared" ca="1" si="93"/>
        <v>502.64842421861914</v>
      </c>
      <c r="P116" s="209">
        <f t="shared" ca="1" si="93"/>
        <v>595.26465474438101</v>
      </c>
      <c r="Q116" s="209">
        <f t="shared" ca="1" si="93"/>
        <v>678.61926221756687</v>
      </c>
      <c r="R116" s="209">
        <f t="shared" ca="1" si="93"/>
        <v>754.03324655778044</v>
      </c>
      <c r="S116" s="209">
        <f t="shared" ca="1" si="93"/>
        <v>772.57419178855866</v>
      </c>
      <c r="T116" s="209">
        <f t="shared" ca="1" si="93"/>
        <v>699.86610219775116</v>
      </c>
      <c r="U116" s="209">
        <f t="shared" ca="1" si="93"/>
        <v>611.90884967911563</v>
      </c>
      <c r="V116" s="209">
        <f t="shared" ca="1" si="93"/>
        <v>554.21925300322027</v>
      </c>
      <c r="W116" s="209">
        <f t="shared" ca="1" si="93"/>
        <v>508.86197927429851</v>
      </c>
      <c r="X116" s="209">
        <f t="shared" ca="1" si="93"/>
        <v>471.58435021748579</v>
      </c>
      <c r="Y116" s="209">
        <f t="shared" ca="1" si="93"/>
        <v>440.38616377825969</v>
      </c>
      <c r="Z116" s="209">
        <f t="shared" ca="1" si="93"/>
        <v>414.21615979914992</v>
      </c>
      <c r="AA116" s="209">
        <f t="shared" ca="1" si="93"/>
        <v>392.02879598436084</v>
      </c>
      <c r="AB116" s="209">
        <f t="shared" ca="1" si="93"/>
        <v>372.75976530889164</v>
      </c>
      <c r="AC116" s="209">
        <f t="shared" ca="1" si="93"/>
        <v>355.52788655985461</v>
      </c>
      <c r="AD116" s="209">
        <f t="shared" ca="1" si="93"/>
        <v>339.72437636627848</v>
      </c>
      <c r="AE116" s="209">
        <f t="shared" ca="1" si="93"/>
        <v>325.10286832748659</v>
      </c>
      <c r="AF116" s="209">
        <f t="shared" ca="1" si="93"/>
        <v>311.58858926993537</v>
      </c>
      <c r="AG116" s="209">
        <f t="shared" ca="1" si="93"/>
        <v>298.99720718478511</v>
      </c>
      <c r="AH116" s="209">
        <f t="shared" ca="1" si="93"/>
        <v>287.03731889739367</v>
      </c>
      <c r="AI116" s="209">
        <f t="shared" ca="1" si="93"/>
        <v>275.55582614149785</v>
      </c>
      <c r="AJ116" s="209">
        <f t="shared" ca="1" si="93"/>
        <v>264.533593095838</v>
      </c>
      <c r="AK116" s="209">
        <f t="shared" ca="1" si="93"/>
        <v>253.95224937200447</v>
      </c>
      <c r="AL116" s="209">
        <f t="shared" ca="1" si="93"/>
        <v>243.79415939712442</v>
      </c>
      <c r="AM116" s="209">
        <f t="shared" ca="1" si="93"/>
        <v>232.37581975426787</v>
      </c>
      <c r="AN116" s="209">
        <f t="shared" ca="1" si="93"/>
        <v>208.58840915091159</v>
      </c>
      <c r="AO116" s="209">
        <f t="shared" ca="1" si="93"/>
        <v>174.59326369244695</v>
      </c>
      <c r="AP116" s="209">
        <f t="shared" ref="AP116:AU116" ca="1" si="94">SUM(AP82:AP90)-AP111</f>
        <v>141.95792405232092</v>
      </c>
      <c r="AQ116" s="209">
        <f t="shared" ca="1" si="94"/>
        <v>110.62799799779995</v>
      </c>
      <c r="AR116" s="209">
        <f t="shared" ca="1" si="94"/>
        <v>80.551268985459828</v>
      </c>
      <c r="AS116" s="209">
        <f t="shared" ca="1" si="94"/>
        <v>51.677609133613259</v>
      </c>
      <c r="AT116" s="209">
        <f t="shared" ca="1" si="94"/>
        <v>24.765551478564522</v>
      </c>
      <c r="AU116" s="209">
        <f t="shared" ca="1" si="94"/>
        <v>5.9978472836386736</v>
      </c>
    </row>
    <row r="118" spans="2:47">
      <c r="E118" s="22" t="s">
        <v>270</v>
      </c>
      <c r="L118" s="209">
        <f>L24</f>
        <v>563.75</v>
      </c>
      <c r="M118" s="209">
        <f t="shared" ref="M118:AU118" si="95">M24</f>
        <v>563.75</v>
      </c>
      <c r="N118" s="209">
        <f t="shared" si="95"/>
        <v>563.75</v>
      </c>
      <c r="O118" s="209">
        <f t="shared" si="95"/>
        <v>563.75</v>
      </c>
      <c r="P118" s="209">
        <f t="shared" si="95"/>
        <v>563.75</v>
      </c>
      <c r="Q118" s="209">
        <f t="shared" si="95"/>
        <v>563.75</v>
      </c>
      <c r="R118" s="209">
        <f t="shared" si="95"/>
        <v>563.75</v>
      </c>
      <c r="S118" s="209">
        <f>S24</f>
        <v>290.88338333333348</v>
      </c>
      <c r="T118" s="209">
        <f t="shared" si="95"/>
        <v>0</v>
      </c>
      <c r="U118" s="209">
        <f t="shared" si="95"/>
        <v>0</v>
      </c>
      <c r="V118" s="209">
        <f t="shared" si="95"/>
        <v>0</v>
      </c>
      <c r="W118" s="209">
        <f t="shared" si="95"/>
        <v>0</v>
      </c>
      <c r="X118" s="209">
        <f t="shared" si="95"/>
        <v>0</v>
      </c>
      <c r="Y118" s="209">
        <f t="shared" si="95"/>
        <v>0</v>
      </c>
      <c r="Z118" s="209">
        <f t="shared" si="95"/>
        <v>0</v>
      </c>
      <c r="AA118" s="209">
        <f t="shared" si="95"/>
        <v>0</v>
      </c>
      <c r="AB118" s="209">
        <f t="shared" si="95"/>
        <v>0</v>
      </c>
      <c r="AC118" s="209">
        <f t="shared" si="95"/>
        <v>0</v>
      </c>
      <c r="AD118" s="209">
        <f t="shared" si="95"/>
        <v>0</v>
      </c>
      <c r="AE118" s="209">
        <f t="shared" si="95"/>
        <v>0</v>
      </c>
      <c r="AF118" s="209">
        <f t="shared" si="95"/>
        <v>0</v>
      </c>
      <c r="AG118" s="209">
        <f t="shared" si="95"/>
        <v>0</v>
      </c>
      <c r="AH118" s="209">
        <f t="shared" si="95"/>
        <v>0</v>
      </c>
      <c r="AI118" s="209">
        <f t="shared" si="95"/>
        <v>0</v>
      </c>
      <c r="AJ118" s="209">
        <f t="shared" si="95"/>
        <v>0</v>
      </c>
      <c r="AK118" s="209">
        <f t="shared" si="95"/>
        <v>0</v>
      </c>
      <c r="AL118" s="209">
        <f t="shared" si="95"/>
        <v>0</v>
      </c>
      <c r="AM118" s="209">
        <f t="shared" si="95"/>
        <v>0</v>
      </c>
      <c r="AN118" s="209">
        <f t="shared" si="95"/>
        <v>0</v>
      </c>
      <c r="AO118" s="209">
        <f t="shared" si="95"/>
        <v>0</v>
      </c>
      <c r="AP118" s="209">
        <f t="shared" si="95"/>
        <v>4237.1333833333338</v>
      </c>
      <c r="AQ118" s="209">
        <f t="shared" si="95"/>
        <v>0</v>
      </c>
      <c r="AR118" s="209">
        <f t="shared" si="95"/>
        <v>0</v>
      </c>
      <c r="AS118" s="209">
        <f t="shared" si="95"/>
        <v>0</v>
      </c>
      <c r="AT118" s="209">
        <f t="shared" si="95"/>
        <v>0</v>
      </c>
      <c r="AU118" s="209">
        <f t="shared" si="95"/>
        <v>0</v>
      </c>
    </row>
    <row r="119" spans="2:47"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09"/>
      <c r="AP119" s="209"/>
      <c r="AQ119" s="209"/>
      <c r="AR119" s="209"/>
      <c r="AS119" s="209"/>
      <c r="AT119" s="209"/>
      <c r="AU119" s="209"/>
    </row>
    <row r="120" spans="2:47">
      <c r="E120" s="22" t="s">
        <v>271</v>
      </c>
      <c r="L120" s="209">
        <f ca="1">L116-L118</f>
        <v>-459.52905957674136</v>
      </c>
      <c r="M120" s="209">
        <f t="shared" ref="M120:AO120" ca="1" si="96">M116-M118</f>
        <v>-288.60671728259729</v>
      </c>
      <c r="N120" s="209">
        <f t="shared" ca="1" si="96"/>
        <v>-165.87613784016787</v>
      </c>
      <c r="O120" s="209">
        <f t="shared" ca="1" si="96"/>
        <v>-61.101575781380859</v>
      </c>
      <c r="P120" s="209">
        <f t="shared" ca="1" si="96"/>
        <v>31.514654744381005</v>
      </c>
      <c r="Q120" s="209">
        <f t="shared" ca="1" si="96"/>
        <v>114.86926221756687</v>
      </c>
      <c r="R120" s="209">
        <f t="shared" ca="1" si="96"/>
        <v>190.28324655778044</v>
      </c>
      <c r="S120" s="209">
        <f t="shared" ca="1" si="96"/>
        <v>481.69080845522518</v>
      </c>
      <c r="T120" s="209">
        <f t="shared" ca="1" si="96"/>
        <v>699.86610219775116</v>
      </c>
      <c r="U120" s="209">
        <f t="shared" ca="1" si="96"/>
        <v>611.90884967911563</v>
      </c>
      <c r="V120" s="209">
        <f t="shared" ca="1" si="96"/>
        <v>554.21925300322027</v>
      </c>
      <c r="W120" s="209">
        <f t="shared" ca="1" si="96"/>
        <v>508.86197927429851</v>
      </c>
      <c r="X120" s="209">
        <f t="shared" ca="1" si="96"/>
        <v>471.58435021748579</v>
      </c>
      <c r="Y120" s="209">
        <f t="shared" ca="1" si="96"/>
        <v>440.38616377825969</v>
      </c>
      <c r="Z120" s="209">
        <f t="shared" ca="1" si="96"/>
        <v>414.21615979914992</v>
      </c>
      <c r="AA120" s="209">
        <f t="shared" ca="1" si="96"/>
        <v>392.02879598436084</v>
      </c>
      <c r="AB120" s="209">
        <f t="shared" ca="1" si="96"/>
        <v>372.75976530889164</v>
      </c>
      <c r="AC120" s="209">
        <f ca="1">AC116-AC118</f>
        <v>355.52788655985461</v>
      </c>
      <c r="AD120" s="209">
        <f t="shared" ca="1" si="96"/>
        <v>339.72437636627848</v>
      </c>
      <c r="AE120" s="209">
        <f t="shared" ca="1" si="96"/>
        <v>325.10286832748659</v>
      </c>
      <c r="AF120" s="209">
        <f t="shared" ca="1" si="96"/>
        <v>311.58858926993537</v>
      </c>
      <c r="AG120" s="209">
        <f t="shared" ca="1" si="96"/>
        <v>298.99720718478511</v>
      </c>
      <c r="AH120" s="209">
        <f t="shared" ca="1" si="96"/>
        <v>287.03731889739367</v>
      </c>
      <c r="AI120" s="209">
        <f t="shared" ca="1" si="96"/>
        <v>275.55582614149785</v>
      </c>
      <c r="AJ120" s="209">
        <f t="shared" ca="1" si="96"/>
        <v>264.533593095838</v>
      </c>
      <c r="AK120" s="209">
        <f t="shared" ca="1" si="96"/>
        <v>253.95224937200447</v>
      </c>
      <c r="AL120" s="209">
        <f t="shared" ca="1" si="96"/>
        <v>243.79415939712442</v>
      </c>
      <c r="AM120" s="209">
        <f t="shared" ca="1" si="96"/>
        <v>232.37581975426787</v>
      </c>
      <c r="AN120" s="209">
        <f t="shared" ca="1" si="96"/>
        <v>208.58840915091159</v>
      </c>
      <c r="AO120" s="209">
        <f t="shared" ca="1" si="96"/>
        <v>174.59326369244695</v>
      </c>
      <c r="AP120" s="209">
        <f t="shared" ref="AP120:AU120" ca="1" si="97">AP116-AP118</f>
        <v>-4095.175459281013</v>
      </c>
      <c r="AQ120" s="209">
        <f t="shared" ca="1" si="97"/>
        <v>110.62799799779995</v>
      </c>
      <c r="AR120" s="209">
        <f t="shared" ca="1" si="97"/>
        <v>80.551268985459828</v>
      </c>
      <c r="AS120" s="209">
        <f t="shared" ca="1" si="97"/>
        <v>51.677609133613259</v>
      </c>
      <c r="AT120" s="209">
        <f t="shared" ca="1" si="97"/>
        <v>24.765551478564522</v>
      </c>
      <c r="AU120" s="209">
        <f t="shared" ca="1" si="97"/>
        <v>5.9978472836386736</v>
      </c>
    </row>
    <row r="121" spans="2:47"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09"/>
      <c r="AQ121" s="209"/>
      <c r="AR121" s="209"/>
      <c r="AS121" s="209"/>
      <c r="AT121" s="209"/>
      <c r="AU121" s="209"/>
    </row>
    <row r="122" spans="2:47">
      <c r="B122" s="37" t="s">
        <v>272</v>
      </c>
      <c r="C122" s="36" t="s">
        <v>273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4" spans="2:47">
      <c r="E124" s="22" t="s">
        <v>274</v>
      </c>
      <c r="L124" s="22">
        <v>1</v>
      </c>
      <c r="M124" s="22">
        <v>2</v>
      </c>
      <c r="N124" s="22">
        <v>3</v>
      </c>
      <c r="O124" s="22">
        <v>4</v>
      </c>
      <c r="P124" s="22">
        <v>5</v>
      </c>
      <c r="Q124" s="22">
        <v>6</v>
      </c>
      <c r="R124" s="22">
        <v>7</v>
      </c>
      <c r="S124" s="22">
        <v>8</v>
      </c>
      <c r="T124" s="22">
        <v>9</v>
      </c>
      <c r="U124" s="22">
        <v>10</v>
      </c>
      <c r="V124" s="22">
        <v>11</v>
      </c>
      <c r="W124" s="22">
        <v>12</v>
      </c>
      <c r="X124" s="22">
        <v>13</v>
      </c>
      <c r="Y124" s="22">
        <v>14</v>
      </c>
      <c r="Z124" s="22">
        <v>15</v>
      </c>
      <c r="AA124" s="22">
        <v>16</v>
      </c>
      <c r="AB124" s="22">
        <v>17</v>
      </c>
      <c r="AC124" s="22">
        <v>18</v>
      </c>
      <c r="AD124" s="22">
        <v>19</v>
      </c>
      <c r="AE124" s="22">
        <v>20</v>
      </c>
      <c r="AF124" s="22">
        <v>21</v>
      </c>
      <c r="AG124" s="22">
        <v>22</v>
      </c>
      <c r="AH124" s="22">
        <v>23</v>
      </c>
      <c r="AI124" s="22">
        <v>24</v>
      </c>
      <c r="AJ124" s="22">
        <v>25</v>
      </c>
      <c r="AK124" s="22">
        <v>26</v>
      </c>
      <c r="AL124" s="22">
        <v>27</v>
      </c>
      <c r="AM124" s="22">
        <v>28</v>
      </c>
      <c r="AN124" s="22">
        <v>29</v>
      </c>
      <c r="AO124" s="22">
        <v>30</v>
      </c>
      <c r="AP124" s="22">
        <v>31</v>
      </c>
      <c r="AQ124" s="22">
        <v>32</v>
      </c>
      <c r="AR124" s="22">
        <v>33</v>
      </c>
      <c r="AS124" s="22">
        <v>34</v>
      </c>
      <c r="AT124" s="22">
        <v>35</v>
      </c>
      <c r="AU124" s="22">
        <v>36</v>
      </c>
    </row>
    <row r="126" spans="2:47">
      <c r="E126" s="22" t="s">
        <v>275</v>
      </c>
      <c r="L126" s="216">
        <f>1/((1+'Inputs &amp; Assumptions'!$L$40)^(L124-1))</f>
        <v>1</v>
      </c>
      <c r="M126" s="216">
        <f>1/((1+'Inputs &amp; Assumptions'!$L$40)^(M124-1))</f>
        <v>0.92253221848966938</v>
      </c>
      <c r="N126" s="216">
        <f>1/((1+'Inputs &amp; Assumptions'!$L$40)^(N124-1))</f>
        <v>0.85106569415147115</v>
      </c>
      <c r="O126" s="216">
        <f>1/((1+'Inputs &amp; Assumptions'!$L$40)^(O124-1))</f>
        <v>0.78513552290600708</v>
      </c>
      <c r="P126" s="216">
        <f>1/((1+'Inputs &amp; Assumptions'!$L$40)^(P124-1))</f>
        <v>0.7243128157615254</v>
      </c>
      <c r="Q126" s="216">
        <f>1/((1+'Inputs &amp; Assumptions'!$L$40)^(Q124-1))</f>
        <v>0.66820190880497921</v>
      </c>
      <c r="R126" s="216">
        <f>1/((1+'Inputs &amp; Assumptions'!$L$40)^(R124-1))</f>
        <v>0.61643778932888915</v>
      </c>
      <c r="S126" s="216">
        <f>1/((1+'Inputs &amp; Assumptions'!$L$40)^(S124-1))</f>
        <v>0.56868372135044754</v>
      </c>
      <c r="T126" s="216">
        <f>1/((1+'Inputs &amp; Assumptions'!$L$40)^(T124-1))</f>
        <v>0.52462905507638935</v>
      </c>
      <c r="U126" s="216">
        <f>1/((1+'Inputs &amp; Assumptions'!$L$40)^(U124-1))</f>
        <v>0.48398720606376039</v>
      </c>
      <c r="V126" s="216">
        <f>1/((1+'Inputs &amp; Assumptions'!$L$40)^(V124-1))</f>
        <v>0.4464937909306177</v>
      </c>
      <c r="W126" s="216">
        <f>1/((1+'Inputs &amp; Assumptions'!$L$40)^(W124-1))</f>
        <v>0.41190490748908537</v>
      </c>
      <c r="X126" s="216">
        <f>1/((1+'Inputs &amp; Assumptions'!$L$40)^(X124-1))</f>
        <v>0.37999554811268799</v>
      </c>
      <c r="Y126" s="216">
        <f>1/((1+'Inputs &amp; Assumptions'!$L$40)^(Y124-1))</f>
        <v>0.35055813601659591</v>
      </c>
      <c r="Z126" s="216">
        <f>1/((1+'Inputs &amp; Assumptions'!$L$40)^(Z124-1))</f>
        <v>0.32340117492899351</v>
      </c>
      <c r="AA126" s="216">
        <f>1/((1+'Inputs &amp; Assumptions'!$L$40)^(AA124-1))</f>
        <v>0.29834800336941003</v>
      </c>
      <c r="AB126" s="216">
        <f>1/((1+'Inputs &amp; Assumptions'!$L$40)^(AB124-1))</f>
        <v>0.27523564543034518</v>
      </c>
      <c r="AC126" s="216">
        <f>1/((1+'Inputs &amp; Assumptions'!$L$40)^(AC124-1))</f>
        <v>0.2539137505862924</v>
      </c>
      <c r="AD126" s="216">
        <f>1/((1+'Inputs &amp; Assumptions'!$L$40)^(AD124-1))</f>
        <v>0.23424361563340493</v>
      </c>
      <c r="AE126" s="216">
        <f>1/((1+'Inputs &amp; Assumptions'!$L$40)^(AE124-1))</f>
        <v>0.21609728239732642</v>
      </c>
      <c r="AF126" s="216">
        <f>1/((1+'Inputs &amp; Assumptions'!$L$40)^(AF124-1))</f>
        <v>0.19935670533959413</v>
      </c>
      <c r="AG126" s="216">
        <f>1/((1+'Inputs &amp; Assumptions'!$L$40)^(AG124-1))</f>
        <v>0.1839129836477271</v>
      </c>
      <c r="AH126" s="216">
        <f>1/((1+'Inputs &amp; Assumptions'!$L$40)^(AH124-1))</f>
        <v>0.16966565281359197</v>
      </c>
      <c r="AI126" s="216">
        <f>1/((1+'Inputs &amp; Assumptions'!$L$40)^(AI124-1))</f>
        <v>0.15652203109162102</v>
      </c>
      <c r="AJ126" s="216">
        <f>1/((1+'Inputs &amp; Assumptions'!$L$40)^(AJ124-1))</f>
        <v>0.14439661658546216</v>
      </c>
      <c r="AK126" s="216">
        <f>1/((1+'Inputs &amp; Assumptions'!$L$40)^(AK124-1))</f>
        <v>0.13321053104098857</v>
      </c>
      <c r="AL126" s="216">
        <f>1/((1+'Inputs &amp; Assumptions'!$L$40)^(AL124-1))</f>
        <v>0.12289100672743015</v>
      </c>
      <c r="AM126" s="216">
        <f>1/((1+'Inputs &amp; Assumptions'!$L$40)^(AM124-1))</f>
        <v>0.11337091306868505</v>
      </c>
      <c r="AN126" s="216">
        <f>1/((1+'Inputs &amp; Assumptions'!$L$40)^(AN124-1))</f>
        <v>0.10458831994545346</v>
      </c>
      <c r="AO126" s="216">
        <f>1/((1+'Inputs &amp; Assumptions'!$L$40)^(AO124-1))</f>
        <v>9.6486094827386515E-2</v>
      </c>
      <c r="AP126" s="216">
        <f>1/((1+'Inputs &amp; Assumptions'!$L$40)^(AP124-1))</f>
        <v>8.9011531114513487E-2</v>
      </c>
      <c r="AQ126" s="216">
        <f>1/((1+'Inputs &amp; Assumptions'!$L$40)^(AQ124-1))</f>
        <v>8.2116005270234368E-2</v>
      </c>
      <c r="AR126" s="216">
        <f>1/((1+'Inputs &amp; Assumptions'!$L$40)^(AR124-1))</f>
        <v>7.5754660515458691E-2</v>
      </c>
      <c r="AS126" s="216">
        <f>1/((1+'Inputs &amp; Assumptions'!$L$40)^(AS124-1))</f>
        <v>6.988611502625787E-2</v>
      </c>
      <c r="AT126" s="216">
        <f>1/((1+'Inputs &amp; Assumptions'!$L$40)^(AT124-1))</f>
        <v>6.4472192736797898E-2</v>
      </c>
      <c r="AU126" s="216">
        <f>1/((1+'Inputs &amp; Assumptions'!$L$40)^(AU124-1))</f>
        <v>5.9477674996371702E-2</v>
      </c>
    </row>
    <row r="128" spans="2:47">
      <c r="E128" s="22" t="s">
        <v>276</v>
      </c>
      <c r="G128" s="22" t="s">
        <v>77</v>
      </c>
      <c r="L128" s="208">
        <f ca="1">L120*L126</f>
        <v>-459.52905957674136</v>
      </c>
      <c r="M128" s="208">
        <f t="shared" ref="M128:AO128" ca="1" si="98">M120*M126</f>
        <v>-266.24899516573527</v>
      </c>
      <c r="N128" s="208">
        <f t="shared" ca="1" si="98"/>
        <v>-141.17149039410759</v>
      </c>
      <c r="O128" s="208">
        <f t="shared" ca="1" si="98"/>
        <v>-47.973017651495482</v>
      </c>
      <c r="P128" s="208">
        <f t="shared" ca="1" si="98"/>
        <v>22.826468315654921</v>
      </c>
      <c r="Q128" s="208">
        <f t="shared" ca="1" si="98"/>
        <v>76.755860276797861</v>
      </c>
      <c r="R128" s="208">
        <f t="shared" ca="1" si="98"/>
        <v>117.29778385440213</v>
      </c>
      <c r="S128" s="208">
        <f t="shared" ca="1" si="98"/>
        <v>273.92972149262306</v>
      </c>
      <c r="T128" s="208">
        <f t="shared" ca="1" si="98"/>
        <v>367.17009187600195</v>
      </c>
      <c r="U128" s="208">
        <f t="shared" ca="1" si="98"/>
        <v>296.1560545218847</v>
      </c>
      <c r="V128" s="208">
        <f t="shared" ca="1" si="98"/>
        <v>247.45545528014296</v>
      </c>
      <c r="W128" s="208">
        <f t="shared" ca="1" si="98"/>
        <v>209.60274649769281</v>
      </c>
      <c r="X128" s="208">
        <f t="shared" ca="1" si="98"/>
        <v>179.19995364225932</v>
      </c>
      <c r="Y128" s="208">
        <f t="shared" ca="1" si="98"/>
        <v>154.38095270160605</v>
      </c>
      <c r="Z128" s="208">
        <f t="shared" ca="1" si="98"/>
        <v>133.9579927536208</v>
      </c>
      <c r="AA128" s="208">
        <f t="shared" ca="1" si="98"/>
        <v>116.96100854524785</v>
      </c>
      <c r="AB128" s="208">
        <f t="shared" ca="1" si="98"/>
        <v>102.59677459525679</v>
      </c>
      <c r="AC128" s="208">
        <f t="shared" ca="1" si="98"/>
        <v>90.273419114430581</v>
      </c>
      <c r="AD128" s="208">
        <f ca="1">AD120*AD126</f>
        <v>79.578266238840726</v>
      </c>
      <c r="AE128" s="208">
        <f t="shared" ca="1" si="98"/>
        <v>70.253846345145703</v>
      </c>
      <c r="AF128" s="208">
        <f t="shared" ca="1" si="98"/>
        <v>62.117274578266326</v>
      </c>
      <c r="AG128" s="208">
        <f t="shared" ca="1" si="98"/>
        <v>54.989468475691453</v>
      </c>
      <c r="AH128" s="208">
        <f t="shared" ca="1" si="98"/>
        <v>48.700374092589477</v>
      </c>
      <c r="AI128" s="208">
        <f t="shared" ca="1" si="98"/>
        <v>43.13055758679684</v>
      </c>
      <c r="AJ128" s="208">
        <f t="shared" ca="1" si="98"/>
        <v>38.197755816234377</v>
      </c>
      <c r="AK128" s="208">
        <f t="shared" ca="1" si="98"/>
        <v>33.829113997898268</v>
      </c>
      <c r="AL128" s="208">
        <f t="shared" ca="1" si="98"/>
        <v>29.960109682580196</v>
      </c>
      <c r="AM128" s="208">
        <f t="shared" ca="1" si="98"/>
        <v>26.344658860625529</v>
      </c>
      <c r="AN128" s="208">
        <f t="shared" ca="1" si="98"/>
        <v>21.815911273188693</v>
      </c>
      <c r="AO128" s="208">
        <f t="shared" ca="1" si="98"/>
        <v>16.845822196852335</v>
      </c>
      <c r="AP128" s="208">
        <f t="shared" ref="AP128:AU128" ca="1" si="99">AP120*AP126</f>
        <v>-364.51783781318397</v>
      </c>
      <c r="AQ128" s="208">
        <f t="shared" ca="1" si="99"/>
        <v>9.0843292666228184</v>
      </c>
      <c r="AR128" s="208">
        <f t="shared" ca="1" si="99"/>
        <v>6.1021340360829059</v>
      </c>
      <c r="AS128" s="208">
        <f t="shared" ca="1" si="99"/>
        <v>3.6115473361936905</v>
      </c>
      <c r="AT128" s="208">
        <f t="shared" ca="1" si="99"/>
        <v>1.5966894081591021</v>
      </c>
      <c r="AU128" s="208">
        <f t="shared" ca="1" si="99"/>
        <v>0.35673801141413186</v>
      </c>
    </row>
    <row r="130" spans="5:12">
      <c r="E130" s="217" t="s">
        <v>277</v>
      </c>
      <c r="F130" s="218"/>
      <c r="G130" s="218"/>
      <c r="H130" s="218"/>
      <c r="I130" s="218"/>
      <c r="J130" s="218"/>
      <c r="K130" s="218"/>
      <c r="L130" s="219">
        <f ca="1">SUM(L128:AO128)</f>
        <v>1999.4048798242522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4300-110E-44B9-A0E3-2C150F9C208C}">
  <dimension ref="A1:BC55"/>
  <sheetViews>
    <sheetView tabSelected="1" topLeftCell="G2" workbookViewId="0">
      <selection activeCell="Y24" sqref="Y24"/>
    </sheetView>
  </sheetViews>
  <sheetFormatPr baseColWidth="10" defaultColWidth="8.83203125" defaultRowHeight="15"/>
  <cols>
    <col min="1" max="4" width="3.1640625" style="22" customWidth="1"/>
    <col min="5" max="10" width="8.83203125" style="22"/>
    <col min="11" max="11" width="11.6640625" style="22" bestFit="1" customWidth="1"/>
    <col min="12" max="13" width="8.83203125" style="22"/>
    <col min="14" max="14" width="11.6640625" style="22" bestFit="1" customWidth="1"/>
    <col min="15" max="16384" width="8.83203125" style="22"/>
  </cols>
  <sheetData>
    <row r="1" spans="1:51" customForma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51" customFormat="1" ht="19">
      <c r="A2" s="29"/>
      <c r="B2" s="29"/>
      <c r="C2" s="29"/>
      <c r="D2" s="31" t="str">
        <f>Cover!C5</f>
        <v>Net Asset Value Model - Range Resources Corp. (NYSE:RRC)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</row>
    <row r="3" spans="1:51" customFormat="1">
      <c r="A3" s="29"/>
      <c r="B3" s="29"/>
      <c r="C3" s="29"/>
      <c r="D3" s="33" t="s">
        <v>278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spans="1:51" customForma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 customFormat="1">
      <c r="A5" s="29"/>
      <c r="B5" s="29"/>
      <c r="C5" s="29"/>
      <c r="D5" s="171" t="s">
        <v>19</v>
      </c>
      <c r="E5" s="30"/>
      <c r="F5" s="29"/>
      <c r="G5" s="30"/>
      <c r="H5" s="171" t="str" cm="1">
        <f t="array" ref="H5">_xlfn.IFS('Inputs &amp; Assumptions'!L37= 1,"Street", 'Inputs &amp; Assumptions'!L37=2,"Bear",'Inputs &amp; Assumptions'!L37=3,"Base",'Inputs &amp; Assumptions'!L37=4,"Bull")</f>
        <v>Street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</row>
    <row r="6" spans="1:51" customFormat="1">
      <c r="A6" s="29"/>
      <c r="B6" s="29"/>
      <c r="C6" s="29"/>
      <c r="D6" s="171"/>
      <c r="E6" s="17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9" spans="1:51">
      <c r="B9" s="270" t="s">
        <v>20</v>
      </c>
      <c r="C9" s="271" t="s">
        <v>301</v>
      </c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T9" s="292" t="s">
        <v>86</v>
      </c>
      <c r="V9" s="65" t="s">
        <v>338</v>
      </c>
      <c r="W9" s="65"/>
      <c r="X9" s="65"/>
      <c r="Y9" s="65"/>
      <c r="Z9" s="65"/>
      <c r="AA9" s="65"/>
      <c r="AB9" s="65"/>
    </row>
    <row r="10" spans="1:51" ht="1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T10" s="292"/>
      <c r="U10" s="281">
        <f ca="1">N36</f>
        <v>0.24943221070669805</v>
      </c>
      <c r="V10" s="286">
        <v>13500</v>
      </c>
      <c r="W10" s="286">
        <v>14000</v>
      </c>
      <c r="X10" s="286">
        <v>14500</v>
      </c>
      <c r="Y10" s="286">
        <v>15000</v>
      </c>
      <c r="Z10" s="286">
        <v>15500</v>
      </c>
      <c r="AA10" s="286">
        <v>16000</v>
      </c>
      <c r="AB10" s="287">
        <v>16500</v>
      </c>
    </row>
    <row r="11" spans="1:51">
      <c r="C11" s="275" t="s">
        <v>21</v>
      </c>
      <c r="D11" s="275" t="s">
        <v>302</v>
      </c>
      <c r="E11" s="275"/>
      <c r="F11" s="275"/>
      <c r="G11" s="275"/>
      <c r="H11" s="275"/>
      <c r="I11" s="275"/>
      <c r="J11" s="275"/>
      <c r="K11" s="275"/>
      <c r="L11" s="275" t="s">
        <v>50</v>
      </c>
      <c r="M11" s="275"/>
      <c r="N11" s="275"/>
      <c r="O11" s="275"/>
      <c r="T11" s="292"/>
      <c r="U11" s="288">
        <v>0.11</v>
      </c>
      <c r="V11" s="257">
        <f t="dataTable" ref="V11:AB17" dt2D="1" dtr="1" r1="AU14" r2="AU15" ca="1"/>
        <v>0.16870335484952689</v>
      </c>
      <c r="W11" s="257">
        <v>0.17959093556091474</v>
      </c>
      <c r="X11" s="257">
        <v>0.19047851627230167</v>
      </c>
      <c r="Y11" s="257">
        <v>0.2013660969836886</v>
      </c>
      <c r="Z11" s="257">
        <v>0.21225367769507589</v>
      </c>
      <c r="AA11" s="257">
        <v>0.22314125840646321</v>
      </c>
      <c r="AB11" s="278">
        <v>0.23402883911785013</v>
      </c>
    </row>
    <row r="12" spans="1:5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T12" s="292"/>
      <c r="U12" s="288">
        <v>0.115</v>
      </c>
      <c r="V12" s="257">
        <v>0.18218114376700065</v>
      </c>
      <c r="W12" s="257">
        <v>0.19356522960737907</v>
      </c>
      <c r="X12" s="257">
        <v>0.2049493154477568</v>
      </c>
      <c r="Y12" s="257">
        <v>0.21633340128813489</v>
      </c>
      <c r="Z12" s="257">
        <v>0.22771748712851297</v>
      </c>
      <c r="AA12" s="257">
        <v>0.23910157296889123</v>
      </c>
      <c r="AB12" s="278">
        <v>0.25048565880926932</v>
      </c>
    </row>
    <row r="13" spans="1:51">
      <c r="A13" s="52"/>
      <c r="B13" s="52"/>
      <c r="C13" s="52"/>
      <c r="D13" s="52"/>
      <c r="H13" s="52" t="s">
        <v>303</v>
      </c>
      <c r="I13" s="52"/>
      <c r="J13" s="52"/>
      <c r="K13" s="232"/>
      <c r="L13" s="232" t="s">
        <v>77</v>
      </c>
      <c r="M13" s="52"/>
      <c r="N13" s="230">
        <f ca="1">'PD Reserves'!L81</f>
        <v>17113.52249172849</v>
      </c>
      <c r="O13" s="52"/>
      <c r="T13" s="292"/>
      <c r="U13" s="288">
        <v>0.12</v>
      </c>
      <c r="V13" s="257">
        <v>0.19689264523416897</v>
      </c>
      <c r="W13" s="257">
        <v>0.20879212771483602</v>
      </c>
      <c r="X13" s="257">
        <v>0.2206916101955034</v>
      </c>
      <c r="Y13" s="257">
        <v>0.23259109267617045</v>
      </c>
      <c r="Z13" s="257">
        <v>0.24449057515683767</v>
      </c>
      <c r="AA13" s="257">
        <v>0.25639005763750472</v>
      </c>
      <c r="AB13" s="278">
        <v>0.26828954011817213</v>
      </c>
      <c r="AU13" s="166"/>
    </row>
    <row r="14" spans="1:51">
      <c r="H14" s="28" t="s">
        <v>304</v>
      </c>
      <c r="I14" s="28"/>
      <c r="J14" s="28"/>
      <c r="K14" s="28"/>
      <c r="L14" s="234" t="s">
        <v>77</v>
      </c>
      <c r="M14" s="28"/>
      <c r="N14" s="233">
        <f ca="1">'PUD Reserves'!L130</f>
        <v>1999.4048798242522</v>
      </c>
      <c r="T14" s="292"/>
      <c r="U14" s="288">
        <v>0.125</v>
      </c>
      <c r="V14" s="257">
        <v>0.21218643197893428</v>
      </c>
      <c r="W14" s="257">
        <v>0.22460169155485529</v>
      </c>
      <c r="X14" s="257">
        <v>0.23701695113077667</v>
      </c>
      <c r="Y14" s="257">
        <v>0.24943221070669805</v>
      </c>
      <c r="Z14" s="257">
        <v>0.26184747028261979</v>
      </c>
      <c r="AA14" s="257">
        <v>0.27426272985854083</v>
      </c>
      <c r="AB14" s="278">
        <v>0.28667798943446221</v>
      </c>
      <c r="AU14" s="166">
        <v>15000</v>
      </c>
    </row>
    <row r="15" spans="1:51">
      <c r="H15" s="22" t="s">
        <v>302</v>
      </c>
      <c r="L15" s="232" t="s">
        <v>77</v>
      </c>
      <c r="N15" s="208">
        <f ca="1">SUM(N13:N14)</f>
        <v>19112.927371552742</v>
      </c>
      <c r="T15" s="292"/>
      <c r="U15" s="288">
        <v>0.13</v>
      </c>
      <c r="V15" s="257">
        <v>0.22623513825746952</v>
      </c>
      <c r="W15" s="257">
        <v>0.2391156328113227</v>
      </c>
      <c r="X15" s="257">
        <v>0.25199612736517646</v>
      </c>
      <c r="Y15" s="257">
        <v>0.26487662191902966</v>
      </c>
      <c r="Z15" s="257">
        <v>0.27775711647288265</v>
      </c>
      <c r="AA15" s="257">
        <v>0.29063761102673624</v>
      </c>
      <c r="AB15" s="278">
        <v>0.30351810558058978</v>
      </c>
      <c r="AU15" s="265">
        <v>0.125</v>
      </c>
    </row>
    <row r="16" spans="1:51">
      <c r="I16" s="232"/>
      <c r="T16" s="292"/>
      <c r="U16" s="288">
        <v>0.13500000000000001</v>
      </c>
      <c r="V16" s="257">
        <v>0.23876130674121851</v>
      </c>
      <c r="W16" s="257">
        <v>0.25205333682861403</v>
      </c>
      <c r="X16" s="257">
        <v>0.26534536691600968</v>
      </c>
      <c r="Y16" s="257">
        <v>0.27863739700340523</v>
      </c>
      <c r="Z16" s="257">
        <v>0.29192942709080105</v>
      </c>
      <c r="AA16" s="257">
        <v>0.30522145717819621</v>
      </c>
      <c r="AB16" s="278">
        <v>0.31851348726559192</v>
      </c>
      <c r="AU16" s="166"/>
    </row>
    <row r="17" spans="3:55">
      <c r="T17" s="292"/>
      <c r="U17" s="289">
        <v>0.14000000000000001</v>
      </c>
      <c r="V17" s="279">
        <v>0.24996415411937209</v>
      </c>
      <c r="W17" s="279">
        <v>0.26362127832467352</v>
      </c>
      <c r="X17" s="279">
        <v>0.2772784025299746</v>
      </c>
      <c r="Y17" s="279">
        <v>0.2909355267352764</v>
      </c>
      <c r="Z17" s="279">
        <v>0.3045926509405773</v>
      </c>
      <c r="AA17" s="279">
        <v>0.31824977514587893</v>
      </c>
      <c r="AB17" s="280">
        <v>0.33190689935117984</v>
      </c>
      <c r="AU17" s="166"/>
    </row>
    <row r="18" spans="3:55">
      <c r="C18" s="275" t="s">
        <v>198</v>
      </c>
      <c r="D18" s="275" t="s">
        <v>305</v>
      </c>
      <c r="E18" s="275"/>
      <c r="F18" s="275"/>
      <c r="G18" s="275"/>
      <c r="H18" s="275"/>
      <c r="I18" s="275"/>
      <c r="J18" s="275"/>
      <c r="K18" s="275"/>
      <c r="L18" s="275" t="s">
        <v>50</v>
      </c>
      <c r="M18" s="275"/>
      <c r="N18" s="275"/>
      <c r="O18" s="275"/>
      <c r="T18" s="292"/>
      <c r="AU18" s="166"/>
    </row>
    <row r="19" spans="3:55"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</row>
    <row r="20" spans="3:55">
      <c r="H20" s="22" t="s">
        <v>306</v>
      </c>
      <c r="L20" s="272" t="s">
        <v>77</v>
      </c>
      <c r="N20" s="247">
        <f ca="1">SUM(DCF!K55:AT55)</f>
        <v>-2757.1566078705409</v>
      </c>
      <c r="V20" s="22" t="s">
        <v>337</v>
      </c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6"/>
    </row>
    <row r="21" spans="3:55">
      <c r="H21" s="22" t="s">
        <v>307</v>
      </c>
      <c r="L21" s="272" t="s">
        <v>77</v>
      </c>
      <c r="N21" s="247">
        <f ca="1">SUM(DCF!K54:AT54)</f>
        <v>-3255.3603189536539</v>
      </c>
      <c r="T21" s="292" t="s">
        <v>41</v>
      </c>
      <c r="U21" s="281">
        <f ca="1">N36</f>
        <v>0.24943221070669805</v>
      </c>
      <c r="V21" s="286">
        <v>2</v>
      </c>
      <c r="W21" s="286">
        <v>3</v>
      </c>
      <c r="X21" s="287">
        <v>4</v>
      </c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</row>
    <row r="22" spans="3:55">
      <c r="H22" s="250" t="s">
        <v>308</v>
      </c>
      <c r="I22" s="250"/>
      <c r="J22" s="250"/>
      <c r="K22" s="250"/>
      <c r="L22" s="273" t="s">
        <v>77</v>
      </c>
      <c r="M22" s="250"/>
      <c r="N22" s="251">
        <f ca="1">N15+N20+N21</f>
        <v>13100.410444728548</v>
      </c>
      <c r="T22" s="292"/>
      <c r="U22" s="290">
        <v>0.25</v>
      </c>
      <c r="V22" s="258">
        <f t="dataTable" ref="V22:X27" dt2D="1" dtr="1" r1="AU28" r2="AU29" ca="1"/>
        <v>-0.20166642730332807</v>
      </c>
      <c r="W22" s="257">
        <v>0.24943221070669805</v>
      </c>
      <c r="X22" s="257">
        <v>0.41374534760013615</v>
      </c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6"/>
    </row>
    <row r="23" spans="3:55">
      <c r="L23" s="272"/>
      <c r="T23" s="292"/>
      <c r="U23" s="290">
        <v>0.24</v>
      </c>
      <c r="V23" s="258">
        <v>-0.19403791179741192</v>
      </c>
      <c r="W23" s="257">
        <v>0.26308881132746198</v>
      </c>
      <c r="X23" s="257">
        <v>0.42959640160623319</v>
      </c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</row>
    <row r="24" spans="3:55">
      <c r="C24" s="275" t="s">
        <v>46</v>
      </c>
      <c r="D24" s="275" t="s">
        <v>309</v>
      </c>
      <c r="E24" s="275"/>
      <c r="F24" s="275"/>
      <c r="G24" s="275"/>
      <c r="H24" s="275"/>
      <c r="I24" s="275"/>
      <c r="J24" s="275"/>
      <c r="K24" s="275"/>
      <c r="L24" s="275" t="s">
        <v>50</v>
      </c>
      <c r="M24" s="275"/>
      <c r="N24" s="275"/>
      <c r="O24" s="275"/>
      <c r="T24" s="292"/>
      <c r="U24" s="290">
        <v>0.23</v>
      </c>
      <c r="V24" s="258">
        <v>-0.18640939629149586</v>
      </c>
      <c r="W24" s="257">
        <v>0.27674541194822577</v>
      </c>
      <c r="X24" s="257">
        <v>0.4454474556123299</v>
      </c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6"/>
      <c r="AY24" s="266"/>
      <c r="AZ24" s="266"/>
      <c r="BA24" s="266"/>
      <c r="BB24" s="266"/>
      <c r="BC24" s="266"/>
    </row>
    <row r="25" spans="3:55">
      <c r="L25" s="272"/>
      <c r="T25" s="292"/>
      <c r="U25" s="290">
        <v>0.22</v>
      </c>
      <c r="V25" s="258">
        <v>-0.17878088078557977</v>
      </c>
      <c r="W25" s="257">
        <v>0.2904020125689899</v>
      </c>
      <c r="X25" s="257">
        <v>0.46129850961842694</v>
      </c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</row>
    <row r="26" spans="3:55" ht="15" customHeight="1">
      <c r="H26" s="22" t="s">
        <v>310</v>
      </c>
      <c r="L26" s="272" t="s">
        <v>77</v>
      </c>
      <c r="N26" s="247">
        <v>304.49</v>
      </c>
      <c r="T26" s="292"/>
      <c r="U26" s="290">
        <v>0.21</v>
      </c>
      <c r="V26" s="258">
        <v>-0.17115236527966371</v>
      </c>
      <c r="W26" s="257">
        <v>0.30405861318975363</v>
      </c>
      <c r="X26" s="257">
        <v>0.4771495636245236</v>
      </c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  <c r="AX26" s="266"/>
      <c r="AY26" s="266"/>
      <c r="AZ26" s="266"/>
      <c r="BA26" s="266"/>
      <c r="BB26" s="266"/>
      <c r="BC26" s="266"/>
    </row>
    <row r="27" spans="3:55">
      <c r="H27" s="22" t="s">
        <v>311</v>
      </c>
      <c r="L27" s="272" t="s">
        <v>77</v>
      </c>
      <c r="N27" s="247">
        <v>341.45111233455998</v>
      </c>
      <c r="T27" s="292"/>
      <c r="U27" s="291">
        <v>0.2</v>
      </c>
      <c r="V27" s="258">
        <v>-0.16352384977374729</v>
      </c>
      <c r="W27" s="257">
        <v>0.31771521381051759</v>
      </c>
      <c r="X27" s="257">
        <v>0.49300061763062047</v>
      </c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</row>
    <row r="28" spans="3:55">
      <c r="H28" s="22" t="s">
        <v>101</v>
      </c>
      <c r="L28" s="272" t="s">
        <v>77</v>
      </c>
      <c r="N28" s="247">
        <v>-1694.7619999999999</v>
      </c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>
        <v>1</v>
      </c>
      <c r="AV28" s="266"/>
      <c r="AW28" s="266"/>
      <c r="AX28" s="266"/>
      <c r="AY28" s="266"/>
      <c r="AZ28" s="266"/>
      <c r="BA28" s="266"/>
      <c r="BB28" s="266"/>
      <c r="BC28" s="266"/>
    </row>
    <row r="29" spans="3:55">
      <c r="H29" s="28" t="s">
        <v>312</v>
      </c>
      <c r="I29" s="28"/>
      <c r="J29" s="28"/>
      <c r="K29" s="28"/>
      <c r="L29" s="274" t="s">
        <v>77</v>
      </c>
      <c r="M29" s="28"/>
      <c r="N29" s="252">
        <v>-138.37</v>
      </c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7">
        <v>0.25</v>
      </c>
      <c r="AV29" s="266"/>
      <c r="AW29" s="266"/>
      <c r="AX29" s="266"/>
      <c r="AY29" s="266"/>
      <c r="AZ29" s="266"/>
      <c r="BA29" s="266"/>
      <c r="BB29" s="266"/>
      <c r="BC29" s="266"/>
    </row>
    <row r="30" spans="3:55" ht="14" customHeight="1">
      <c r="H30" s="22" t="s">
        <v>313</v>
      </c>
      <c r="L30" s="272" t="s">
        <v>77</v>
      </c>
      <c r="N30" s="208">
        <f ca="1">SUM(N22:N29)</f>
        <v>11913.219557063107</v>
      </c>
      <c r="V30" s="22" t="s">
        <v>339</v>
      </c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AX30" s="266"/>
      <c r="AY30" s="266"/>
      <c r="AZ30" s="266"/>
      <c r="BA30" s="266"/>
      <c r="BB30" s="266"/>
      <c r="BC30" s="266"/>
    </row>
    <row r="31" spans="3:55">
      <c r="L31" s="272"/>
      <c r="T31" s="292" t="s">
        <v>158</v>
      </c>
      <c r="U31" s="281">
        <f ca="1">N36</f>
        <v>0.24943221070669805</v>
      </c>
      <c r="V31" s="286">
        <f t="shared" ref="V31:W31" si="0">W31-0.2</f>
        <v>3.2399999999999993</v>
      </c>
      <c r="W31" s="286">
        <f t="shared" si="0"/>
        <v>3.4399999999999995</v>
      </c>
      <c r="X31" s="286">
        <f>Y31-0.2</f>
        <v>3.6399999999999997</v>
      </c>
      <c r="Y31" s="286">
        <v>3.84</v>
      </c>
      <c r="Z31" s="286">
        <f>Y31+0.2</f>
        <v>4.04</v>
      </c>
      <c r="AA31" s="286">
        <f>Z31+0.2</f>
        <v>4.24</v>
      </c>
      <c r="AB31" s="287">
        <f>AA31+0.2</f>
        <v>4.4400000000000004</v>
      </c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</row>
    <row r="32" spans="3:55">
      <c r="C32" s="275" t="s">
        <v>56</v>
      </c>
      <c r="D32" s="275" t="s">
        <v>313</v>
      </c>
      <c r="E32" s="275"/>
      <c r="F32" s="275"/>
      <c r="G32" s="275"/>
      <c r="H32" s="275"/>
      <c r="I32" s="275"/>
      <c r="J32" s="275"/>
      <c r="K32" s="275"/>
      <c r="L32" s="275" t="s">
        <v>50</v>
      </c>
      <c r="M32" s="275"/>
      <c r="N32" s="275"/>
      <c r="O32" s="275"/>
      <c r="T32" s="292"/>
      <c r="U32" s="282">
        <f>U33-0.005</f>
        <v>6.8999999999999992E-2</v>
      </c>
      <c r="V32" s="257">
        <f t="dataTable" ref="V32:AB38" dt2D="1" dtr="1" r1="AU39" r2="AU40" ca="1"/>
        <v>0.2941036709574974</v>
      </c>
      <c r="W32" s="257">
        <v>0.33500206180313946</v>
      </c>
      <c r="X32" s="257">
        <v>0.37590045264878291</v>
      </c>
      <c r="Y32" s="257">
        <v>0.41679884349442653</v>
      </c>
      <c r="Z32" s="257">
        <v>0.45769723434006893</v>
      </c>
      <c r="AA32" s="257">
        <v>0.49859562518571199</v>
      </c>
      <c r="AB32" s="278">
        <v>0.53949401603135505</v>
      </c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</row>
    <row r="33" spans="8:55">
      <c r="L33" s="272"/>
      <c r="T33" s="292"/>
      <c r="U33" s="282">
        <f>U34-0.005</f>
        <v>7.3999999999999996E-2</v>
      </c>
      <c r="V33" s="257">
        <v>0.24028060539900103</v>
      </c>
      <c r="W33" s="257">
        <v>0.27922346885023952</v>
      </c>
      <c r="X33" s="257">
        <v>0.31816633230147656</v>
      </c>
      <c r="Y33" s="257">
        <v>0.3571091957527141</v>
      </c>
      <c r="Z33" s="257">
        <v>0.3960520592039517</v>
      </c>
      <c r="AA33" s="257">
        <v>0.4349949226551898</v>
      </c>
      <c r="AB33" s="278">
        <v>0.47393778610642667</v>
      </c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</row>
    <row r="34" spans="8:55">
      <c r="H34" s="28" t="s">
        <v>314</v>
      </c>
      <c r="I34" s="28"/>
      <c r="J34" s="28"/>
      <c r="K34" s="28"/>
      <c r="L34" s="274" t="s">
        <v>341</v>
      </c>
      <c r="M34" s="28"/>
      <c r="N34" s="216">
        <f>'Inputs &amp; Assumptions'!L25</f>
        <v>239.03</v>
      </c>
      <c r="T34" s="292"/>
      <c r="U34" s="282">
        <f>U35-0.005</f>
        <v>7.9000000000000001E-2</v>
      </c>
      <c r="V34" s="257">
        <v>0.18998787864568198</v>
      </c>
      <c r="W34" s="257">
        <v>0.22710444085058046</v>
      </c>
      <c r="X34" s="257">
        <v>0.26422100305547835</v>
      </c>
      <c r="Y34" s="257">
        <v>0.30133756526037841</v>
      </c>
      <c r="Z34" s="257">
        <v>0.33845412746527637</v>
      </c>
      <c r="AA34" s="257">
        <v>0.37557068967017498</v>
      </c>
      <c r="AB34" s="278">
        <v>0.4126872518750731</v>
      </c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266"/>
      <c r="AZ34" s="266"/>
      <c r="BA34" s="266"/>
      <c r="BB34" s="266"/>
      <c r="BC34" s="266"/>
    </row>
    <row r="35" spans="8:55">
      <c r="H35" s="227" t="s">
        <v>313</v>
      </c>
      <c r="L35" s="272" t="s">
        <v>30</v>
      </c>
      <c r="N35" s="276">
        <f ca="1">N30/N34</f>
        <v>49.839850885090186</v>
      </c>
      <c r="T35" s="292"/>
      <c r="U35" s="282">
        <v>8.4000000000000005E-2</v>
      </c>
      <c r="V35" s="257">
        <v>0.14293282660562798</v>
      </c>
      <c r="W35" s="257">
        <v>0.17834167812606178</v>
      </c>
      <c r="X35" s="257">
        <v>0.21375052964649577</v>
      </c>
      <c r="Y35" s="257">
        <v>0.24915938116693045</v>
      </c>
      <c r="Z35" s="257">
        <v>0.2845682326873637</v>
      </c>
      <c r="AA35" s="257">
        <v>0.31997708420779769</v>
      </c>
      <c r="AB35" s="278">
        <v>0.35538593572823235</v>
      </c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</row>
    <row r="36" spans="8:55">
      <c r="H36" s="22" t="s">
        <v>315</v>
      </c>
      <c r="L36" s="272" t="s">
        <v>39</v>
      </c>
      <c r="N36" s="277">
        <f ca="1">(N35-'Inputs &amp; Assumptions'!L24)/'Inputs &amp; Assumptions'!L24</f>
        <v>0.24943221070669805</v>
      </c>
      <c r="T36" s="292"/>
      <c r="U36" s="282">
        <f>U35+0.005</f>
        <v>8.900000000000001E-2</v>
      </c>
      <c r="V36" s="257">
        <v>9.8850905647707571E-2</v>
      </c>
      <c r="W36" s="257">
        <v>0.13266101752562279</v>
      </c>
      <c r="X36" s="257">
        <v>0.16647112940353709</v>
      </c>
      <c r="Y36" s="257">
        <v>0.20028124128145391</v>
      </c>
      <c r="Z36" s="257">
        <v>0.23409135315936788</v>
      </c>
      <c r="AA36" s="257">
        <v>0.26790146503728257</v>
      </c>
      <c r="AB36" s="278">
        <v>0.30171157691519829</v>
      </c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6"/>
      <c r="BB36" s="266"/>
      <c r="BC36" s="266"/>
    </row>
    <row r="37" spans="8:55">
      <c r="T37" s="292"/>
      <c r="U37" s="282">
        <f t="shared" ref="U37:U38" si="1">U36+0.005</f>
        <v>9.4000000000000014E-2</v>
      </c>
      <c r="V37" s="257">
        <v>5.7502696263505078E-2</v>
      </c>
      <c r="W37" s="257">
        <v>8.981432818680081E-2</v>
      </c>
      <c r="X37" s="257">
        <v>0.12212596011009672</v>
      </c>
      <c r="Y37" s="257">
        <v>0.15443759203339369</v>
      </c>
      <c r="Z37" s="257">
        <v>0.18674922395668908</v>
      </c>
      <c r="AA37" s="257">
        <v>0.219060855879985</v>
      </c>
      <c r="AB37" s="278">
        <v>0.2513724878032802</v>
      </c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</row>
    <row r="38" spans="8:55">
      <c r="U38" s="283">
        <f t="shared" si="1"/>
        <v>9.9000000000000019E-2</v>
      </c>
      <c r="V38" s="279">
        <v>1.867125175798609E-2</v>
      </c>
      <c r="W38" s="279">
        <v>4.9576764731921567E-2</v>
      </c>
      <c r="X38" s="279">
        <v>8.0482277705855795E-2</v>
      </c>
      <c r="Y38" s="279">
        <v>0.1113877906797911</v>
      </c>
      <c r="Z38" s="279">
        <v>0.1422933036537255</v>
      </c>
      <c r="AA38" s="279">
        <v>0.17319881662766062</v>
      </c>
      <c r="AB38" s="280">
        <v>0.20410432960159594</v>
      </c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</row>
    <row r="39" spans="8:55"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8">
        <f>3.84</f>
        <v>3.84</v>
      </c>
      <c r="AV39" s="266"/>
      <c r="AW39" s="266"/>
      <c r="AX39" s="266"/>
      <c r="AY39" s="266"/>
      <c r="AZ39" s="266"/>
      <c r="BA39" s="266"/>
      <c r="BB39" s="266"/>
      <c r="BC39" s="266"/>
    </row>
    <row r="40" spans="8:55"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9">
        <v>8.3972982143818903E-2</v>
      </c>
      <c r="AV40" s="266"/>
      <c r="AW40" s="266"/>
      <c r="AX40" s="266"/>
      <c r="AY40" s="266"/>
      <c r="AZ40" s="266"/>
      <c r="BA40" s="266"/>
      <c r="BB40" s="266"/>
      <c r="BC40" s="266"/>
    </row>
    <row r="41" spans="8:55">
      <c r="V41" s="22" t="s">
        <v>340</v>
      </c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</row>
    <row r="42" spans="8:55">
      <c r="U42" s="281">
        <f ca="1">N36</f>
        <v>0.24943221070669805</v>
      </c>
      <c r="V42" s="284">
        <v>-0.06</v>
      </c>
      <c r="W42" s="284">
        <v>-0.04</v>
      </c>
      <c r="X42" s="284">
        <v>-0.02</v>
      </c>
      <c r="Y42" s="284">
        <v>0</v>
      </c>
      <c r="Z42" s="284">
        <v>0.02</v>
      </c>
      <c r="AA42" s="284">
        <v>0.04</v>
      </c>
      <c r="AB42" s="285">
        <v>0.06</v>
      </c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6"/>
      <c r="AX42" s="266"/>
      <c r="AY42" s="266"/>
      <c r="AZ42" s="266"/>
      <c r="BA42" s="266"/>
      <c r="BB42" s="266"/>
      <c r="BC42" s="266"/>
    </row>
    <row r="43" spans="8:55">
      <c r="T43" s="292" t="s">
        <v>158</v>
      </c>
      <c r="U43" s="282">
        <f>U44-0.005</f>
        <v>6.8999999999999992E-2</v>
      </c>
      <c r="V43" s="257">
        <f t="dataTable" ref="V43:AB49" dt2D="1" dtr="1" r1="AU49" r2="AU40" ca="1"/>
        <v>0.35070190717678024</v>
      </c>
      <c r="W43" s="257">
        <v>0.37273421928266187</v>
      </c>
      <c r="X43" s="257">
        <v>0.39476653138854328</v>
      </c>
      <c r="Y43" s="257">
        <v>0.41679884349442653</v>
      </c>
      <c r="Z43" s="257">
        <v>0.43883115560030633</v>
      </c>
      <c r="AA43" s="257">
        <v>0.46086346770618924</v>
      </c>
      <c r="AB43" s="278">
        <v>0.48289577981207105</v>
      </c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  <c r="AV43" s="266"/>
      <c r="AW43" s="266"/>
      <c r="AX43" s="266"/>
      <c r="AY43" s="266"/>
      <c r="AZ43" s="266"/>
      <c r="BA43" s="266"/>
      <c r="BB43" s="266"/>
      <c r="BC43" s="266"/>
    </row>
    <row r="44" spans="8:55">
      <c r="T44" s="292"/>
      <c r="U44" s="282">
        <f>U45-0.005</f>
        <v>7.3999999999999996E-2</v>
      </c>
      <c r="V44" s="257">
        <v>0.29322655554691118</v>
      </c>
      <c r="W44" s="257">
        <v>0.31452076894884462</v>
      </c>
      <c r="X44" s="257">
        <v>0.33581498235077928</v>
      </c>
      <c r="Y44" s="257">
        <v>0.3571091957527141</v>
      </c>
      <c r="Z44" s="257">
        <v>0.37840340915464787</v>
      </c>
      <c r="AA44" s="257">
        <v>0.39969762255658292</v>
      </c>
      <c r="AB44" s="278">
        <v>0.42099183595851686</v>
      </c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6"/>
      <c r="AX44" s="266"/>
      <c r="AY44" s="266"/>
      <c r="AZ44" s="266"/>
      <c r="BA44" s="266"/>
      <c r="BB44" s="266"/>
      <c r="BC44" s="266"/>
    </row>
    <row r="45" spans="8:55">
      <c r="T45" s="292"/>
      <c r="U45" s="282">
        <f>U46-0.005</f>
        <v>7.9000000000000001E-2</v>
      </c>
      <c r="V45" s="257">
        <v>0.23953090631979893</v>
      </c>
      <c r="W45" s="257">
        <v>0.26013312596665844</v>
      </c>
      <c r="X45" s="257">
        <v>0.28073534561351787</v>
      </c>
      <c r="Y45" s="257">
        <v>0.30133756526037841</v>
      </c>
      <c r="Z45" s="257">
        <v>0.32193978490723668</v>
      </c>
      <c r="AA45" s="257">
        <v>0.34254200455409617</v>
      </c>
      <c r="AB45" s="278">
        <v>0.3631442242009576</v>
      </c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6"/>
      <c r="BB45" s="266"/>
      <c r="BC45" s="266"/>
    </row>
    <row r="46" spans="8:55">
      <c r="T46" s="292"/>
      <c r="U46" s="282">
        <v>8.4000000000000005E-2</v>
      </c>
      <c r="V46" s="257">
        <v>0.18930161166029727</v>
      </c>
      <c r="W46" s="257">
        <v>0.20925420149584126</v>
      </c>
      <c r="X46" s="257">
        <v>0.22920679133138505</v>
      </c>
      <c r="Y46" s="257">
        <v>0.24915938116693045</v>
      </c>
      <c r="Z46" s="257">
        <v>0.26911197100247475</v>
      </c>
      <c r="AA46" s="257">
        <v>0.28906456083801857</v>
      </c>
      <c r="AB46" s="278">
        <v>0.30901715067356272</v>
      </c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6"/>
      <c r="AX46" s="266"/>
      <c r="AY46" s="266"/>
      <c r="AZ46" s="266"/>
      <c r="BA46" s="266"/>
      <c r="BB46" s="266"/>
      <c r="BC46" s="266"/>
    </row>
    <row r="47" spans="8:55">
      <c r="T47" s="292"/>
      <c r="U47" s="282">
        <f>U46+0.005</f>
        <v>8.900000000000001E-2</v>
      </c>
      <c r="V47" s="257">
        <v>0.14225542478180686</v>
      </c>
      <c r="W47" s="257">
        <v>0.16159736361502194</v>
      </c>
      <c r="X47" s="257">
        <v>0.18093930244823775</v>
      </c>
      <c r="Y47" s="257">
        <v>0.20028124128145391</v>
      </c>
      <c r="Z47" s="257">
        <v>0.21962318011466828</v>
      </c>
      <c r="AA47" s="257">
        <v>0.23896511894788408</v>
      </c>
      <c r="AB47" s="278">
        <v>0.25830705778109847</v>
      </c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  <c r="AX47" s="266"/>
      <c r="AY47" s="266"/>
      <c r="AZ47" s="266"/>
      <c r="BA47" s="266"/>
      <c r="BB47" s="266"/>
      <c r="BC47" s="266"/>
    </row>
    <row r="48" spans="8:55">
      <c r="T48" s="292"/>
      <c r="U48" s="282">
        <f t="shared" ref="U48:U49" si="2">U47+0.005</f>
        <v>9.4000000000000014E-2</v>
      </c>
      <c r="V48" s="257">
        <v>9.8135993026887039E-2</v>
      </c>
      <c r="W48" s="257">
        <v>0.11690319269572218</v>
      </c>
      <c r="X48" s="257">
        <v>0.1356703923645575</v>
      </c>
      <c r="Y48" s="257">
        <v>0.15443759203339369</v>
      </c>
      <c r="Z48" s="257">
        <v>0.17320479170222902</v>
      </c>
      <c r="AA48" s="257">
        <v>0.19197199137106397</v>
      </c>
      <c r="AB48" s="278">
        <v>0.21073919103989999</v>
      </c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6"/>
      <c r="AX48" s="266"/>
      <c r="AY48" s="266"/>
      <c r="AZ48" s="266"/>
      <c r="BA48" s="266"/>
      <c r="BB48" s="266"/>
      <c r="BC48" s="266"/>
    </row>
    <row r="49" spans="20:55">
      <c r="T49" s="292"/>
      <c r="U49" s="283">
        <f t="shared" si="2"/>
        <v>9.9000000000000019E-2</v>
      </c>
      <c r="V49" s="279">
        <v>5.6711020220599137E-2</v>
      </c>
      <c r="W49" s="279">
        <v>7.4936610373662949E-2</v>
      </c>
      <c r="X49" s="279">
        <v>9.316220052672676E-2</v>
      </c>
      <c r="Y49" s="279">
        <v>0.1113877906797911</v>
      </c>
      <c r="Z49" s="279">
        <v>0.12961338083285509</v>
      </c>
      <c r="AA49" s="279">
        <v>0.147838970985918</v>
      </c>
      <c r="AB49" s="280">
        <v>0.16606456113898252</v>
      </c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7">
        <v>0</v>
      </c>
      <c r="AV49" s="266"/>
      <c r="AW49" s="266"/>
      <c r="AX49" s="266"/>
      <c r="AY49" s="266"/>
      <c r="AZ49" s="266"/>
      <c r="BA49" s="266"/>
      <c r="BB49" s="266"/>
      <c r="BC49" s="266"/>
    </row>
    <row r="50" spans="20:55"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6"/>
      <c r="AX50" s="266"/>
      <c r="AY50" s="266"/>
      <c r="AZ50" s="266"/>
      <c r="BA50" s="266"/>
      <c r="BB50" s="266"/>
      <c r="BC50" s="266"/>
    </row>
    <row r="51" spans="20:55"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6"/>
      <c r="BB51" s="266"/>
      <c r="BC51" s="266"/>
    </row>
    <row r="52" spans="20:55"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6"/>
      <c r="AX52" s="266"/>
      <c r="AY52" s="266"/>
      <c r="AZ52" s="266"/>
      <c r="BA52" s="266"/>
      <c r="BB52" s="266"/>
      <c r="BC52" s="266"/>
    </row>
    <row r="53" spans="20:55"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6"/>
    </row>
    <row r="54" spans="20:55"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66"/>
      <c r="AZ54" s="266"/>
      <c r="BA54" s="266"/>
      <c r="BB54" s="266"/>
      <c r="BC54" s="266"/>
    </row>
    <row r="55" spans="20:55"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</row>
  </sheetData>
  <mergeCells count="4">
    <mergeCell ref="T31:T37"/>
    <mergeCell ref="T43:T49"/>
    <mergeCell ref="T21:T27"/>
    <mergeCell ref="T9:T18"/>
  </mergeCells>
  <conditionalFormatting sqref="V22:V27">
    <cfRule type="cellIs" dxfId="1" priority="8" operator="lessThan">
      <formula>0</formula>
    </cfRule>
    <cfRule type="colorScale" priority="9">
      <colorScale>
        <cfvo type="min"/>
        <cfvo type="max"/>
        <color rgb="FFF8696B"/>
        <color rgb="FFFCFCFF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8">
    <cfRule type="cellIs" dxfId="0" priority="3" operator="lessThan">
      <formula>0</formula>
    </cfRule>
  </conditionalFormatting>
  <conditionalFormatting sqref="V11:AB17">
    <cfRule type="colorScale" priority="12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2:AB38"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3:AB49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:X2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4DB4-46C6-42FA-84E7-C6858B4355EC}">
  <dimension ref="A1:AY55"/>
  <sheetViews>
    <sheetView workbookViewId="0">
      <selection activeCell="T61" sqref="T61"/>
    </sheetView>
  </sheetViews>
  <sheetFormatPr baseColWidth="10" defaultColWidth="9.1640625" defaultRowHeight="15"/>
  <cols>
    <col min="1" max="3" width="2.6640625" style="22" customWidth="1"/>
    <col min="4" max="4" width="5.5" style="22" customWidth="1"/>
    <col min="5" max="5" width="2.6640625" style="22" customWidth="1"/>
    <col min="6" max="10" width="9.1640625" style="22"/>
    <col min="11" max="11" width="13.5" style="22" customWidth="1"/>
    <col min="12" max="28" width="11.5" style="22" bestFit="1" customWidth="1"/>
    <col min="29" max="33" width="10.6640625" style="22" bestFit="1" customWidth="1"/>
    <col min="34" max="41" width="10.5" style="22" bestFit="1" customWidth="1"/>
    <col min="42" max="45" width="9.33203125" style="22" bestFit="1" customWidth="1"/>
    <col min="46" max="48" width="9.1640625" style="22"/>
    <col min="49" max="49" width="11" style="22" bestFit="1" customWidth="1"/>
    <col min="50" max="16384" width="9.1640625" style="22"/>
  </cols>
  <sheetData>
    <row r="1" spans="1:5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9">
      <c r="A2" s="29"/>
      <c r="B2" s="29"/>
      <c r="C2" s="29"/>
      <c r="D2" s="31" t="str">
        <f>Cover!C5</f>
        <v>Net Asset Value Model - Range Resources Corp. (NYSE:RRC)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</row>
    <row r="3" spans="1:51">
      <c r="A3" s="29"/>
      <c r="B3" s="29"/>
      <c r="C3" s="29"/>
      <c r="D3" s="33" t="s">
        <v>278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spans="1:5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>
      <c r="A5" s="29"/>
      <c r="B5" s="29"/>
      <c r="C5" s="29"/>
      <c r="D5" s="171" t="s">
        <v>19</v>
      </c>
      <c r="E5" s="30"/>
      <c r="F5" s="29"/>
      <c r="G5" s="30"/>
      <c r="H5" s="171" t="str" cm="1">
        <f t="array" ref="H5">_xlfn.IFS('Inputs &amp; Assumptions'!L37= 1,"Street", 'Inputs &amp; Assumptions'!L37=2,"Bear",'Inputs &amp; Assumptions'!L37=3,"Base",'Inputs &amp; Assumptions'!L37=4,"Bull")</f>
        <v>Street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</row>
    <row r="6" spans="1:51">
      <c r="A6" s="29"/>
      <c r="B6" s="29"/>
      <c r="C6" s="29"/>
      <c r="D6" s="171"/>
      <c r="E6" s="171"/>
      <c r="F6" s="29"/>
      <c r="G6" s="29"/>
      <c r="H6" s="29"/>
      <c r="I6" s="29"/>
      <c r="J6" s="29"/>
      <c r="K6" s="170" t="s">
        <v>212</v>
      </c>
      <c r="L6" s="170" t="s">
        <v>213</v>
      </c>
      <c r="M6" s="170" t="s">
        <v>214</v>
      </c>
      <c r="N6" s="170" t="s">
        <v>215</v>
      </c>
      <c r="O6" s="170" t="s">
        <v>216</v>
      </c>
      <c r="P6" s="170" t="s">
        <v>217</v>
      </c>
      <c r="Q6" s="170" t="s">
        <v>218</v>
      </c>
      <c r="R6" s="170" t="s">
        <v>219</v>
      </c>
      <c r="S6" s="170" t="s">
        <v>220</v>
      </c>
      <c r="T6" s="170" t="s">
        <v>221</v>
      </c>
      <c r="U6" s="170" t="s">
        <v>222</v>
      </c>
      <c r="V6" s="170" t="s">
        <v>223</v>
      </c>
      <c r="W6" s="170" t="s">
        <v>224</v>
      </c>
      <c r="X6" s="170" t="s">
        <v>225</v>
      </c>
      <c r="Y6" s="170" t="s">
        <v>226</v>
      </c>
      <c r="Z6" s="170" t="s">
        <v>227</v>
      </c>
      <c r="AA6" s="170" t="s">
        <v>228</v>
      </c>
      <c r="AB6" s="170" t="s">
        <v>229</v>
      </c>
      <c r="AC6" s="170" t="s">
        <v>230</v>
      </c>
      <c r="AD6" s="170" t="s">
        <v>231</v>
      </c>
      <c r="AE6" s="170" t="s">
        <v>232</v>
      </c>
      <c r="AF6" s="170" t="s">
        <v>233</v>
      </c>
      <c r="AG6" s="170" t="s">
        <v>234</v>
      </c>
      <c r="AH6" s="170" t="s">
        <v>235</v>
      </c>
      <c r="AI6" s="170" t="s">
        <v>236</v>
      </c>
      <c r="AJ6" s="170" t="s">
        <v>237</v>
      </c>
      <c r="AK6" s="170" t="s">
        <v>238</v>
      </c>
      <c r="AL6" s="170" t="s">
        <v>239</v>
      </c>
      <c r="AM6" s="170" t="s">
        <v>240</v>
      </c>
      <c r="AN6" s="170" t="s">
        <v>241</v>
      </c>
      <c r="AO6" s="170" t="s">
        <v>280</v>
      </c>
      <c r="AP6" s="170" t="s">
        <v>281</v>
      </c>
      <c r="AQ6" s="170" t="s">
        <v>282</v>
      </c>
      <c r="AR6" s="170" t="s">
        <v>283</v>
      </c>
      <c r="AS6" s="170" t="s">
        <v>284</v>
      </c>
      <c r="AT6" s="170" t="s">
        <v>285</v>
      </c>
      <c r="AU6" s="170" t="s">
        <v>286</v>
      </c>
      <c r="AV6" s="170"/>
      <c r="AW6" s="170"/>
      <c r="AX6" s="170"/>
      <c r="AY6" s="29"/>
    </row>
    <row r="8" spans="1:51" s="167" customFormat="1">
      <c r="F8" s="22" t="s">
        <v>290</v>
      </c>
      <c r="K8" s="167">
        <v>1</v>
      </c>
      <c r="L8" s="167">
        <v>2</v>
      </c>
      <c r="M8" s="167">
        <v>3</v>
      </c>
      <c r="N8" s="167">
        <v>4</v>
      </c>
      <c r="O8" s="167">
        <v>5</v>
      </c>
      <c r="P8" s="167">
        <v>6</v>
      </c>
      <c r="Q8" s="167">
        <v>7</v>
      </c>
      <c r="R8" s="167">
        <v>8</v>
      </c>
      <c r="S8" s="167">
        <v>9</v>
      </c>
      <c r="T8" s="167">
        <v>10</v>
      </c>
      <c r="U8" s="167">
        <v>11</v>
      </c>
      <c r="V8" s="167">
        <v>12</v>
      </c>
      <c r="W8" s="167">
        <v>13</v>
      </c>
      <c r="X8" s="167">
        <v>14</v>
      </c>
      <c r="Y8" s="167">
        <v>15</v>
      </c>
      <c r="Z8" s="167">
        <v>16</v>
      </c>
      <c r="AA8" s="167">
        <v>17</v>
      </c>
      <c r="AB8" s="167">
        <v>18</v>
      </c>
      <c r="AC8" s="167">
        <v>19</v>
      </c>
      <c r="AD8" s="167">
        <v>20</v>
      </c>
      <c r="AE8" s="167">
        <v>21</v>
      </c>
      <c r="AF8" s="167">
        <v>22</v>
      </c>
      <c r="AG8" s="167">
        <v>23</v>
      </c>
      <c r="AH8" s="167">
        <v>24</v>
      </c>
      <c r="AI8" s="167">
        <v>25</v>
      </c>
      <c r="AJ8" s="167">
        <v>26</v>
      </c>
      <c r="AK8" s="167">
        <v>27</v>
      </c>
      <c r="AL8" s="167">
        <v>28</v>
      </c>
      <c r="AM8" s="167">
        <v>29</v>
      </c>
      <c r="AN8" s="167">
        <v>30</v>
      </c>
      <c r="AO8" s="167">
        <v>31</v>
      </c>
      <c r="AP8" s="167">
        <v>32</v>
      </c>
      <c r="AQ8" s="167">
        <v>33</v>
      </c>
      <c r="AR8" s="167">
        <v>34</v>
      </c>
      <c r="AS8" s="167">
        <v>35</v>
      </c>
      <c r="AT8" s="167">
        <v>36</v>
      </c>
      <c r="AU8" s="167">
        <v>37</v>
      </c>
    </row>
    <row r="10" spans="1:51">
      <c r="B10" s="37" t="s">
        <v>20</v>
      </c>
      <c r="C10" s="36" t="s">
        <v>92</v>
      </c>
      <c r="D10" s="36"/>
      <c r="E10" s="36"/>
      <c r="F10" s="36"/>
      <c r="G10" s="36"/>
      <c r="H10" s="36"/>
      <c r="I10" s="240" t="s">
        <v>50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</row>
    <row r="12" spans="1:51" s="236" customFormat="1" ht="16">
      <c r="F12" s="22" t="s">
        <v>60</v>
      </c>
      <c r="I12" s="242" t="s">
        <v>316</v>
      </c>
      <c r="K12" s="236">
        <f ca="1">'Commodity Price Assumptions'!O10</f>
        <v>3.5</v>
      </c>
      <c r="L12" s="236">
        <f ca="1">'Commodity Price Assumptions'!P10</f>
        <v>3.84</v>
      </c>
      <c r="M12" s="236">
        <f ca="1">'Commodity Price Assumptions'!Q10</f>
        <v>3.8499999999999996</v>
      </c>
      <c r="N12" s="236">
        <f ca="1">'Commodity Price Assumptions'!R10</f>
        <v>3.8099999999999996</v>
      </c>
      <c r="O12" s="236">
        <f ca="1">'Commodity Price Assumptions'!$S$10</f>
        <v>3.84</v>
      </c>
      <c r="P12" s="236">
        <f ca="1">'Commodity Price Assumptions'!$S$10</f>
        <v>3.84</v>
      </c>
      <c r="Q12" s="236">
        <f ca="1">'Commodity Price Assumptions'!$S$10</f>
        <v>3.84</v>
      </c>
      <c r="R12" s="236">
        <f ca="1">'Commodity Price Assumptions'!$S$10</f>
        <v>3.84</v>
      </c>
      <c r="S12" s="236">
        <f ca="1">'Commodity Price Assumptions'!$S$10</f>
        <v>3.84</v>
      </c>
      <c r="T12" s="236">
        <f ca="1">'Commodity Price Assumptions'!$S$10</f>
        <v>3.84</v>
      </c>
      <c r="U12" s="236">
        <f ca="1">'Commodity Price Assumptions'!$S$10</f>
        <v>3.84</v>
      </c>
      <c r="V12" s="236">
        <f ca="1">'Commodity Price Assumptions'!$S$10</f>
        <v>3.84</v>
      </c>
      <c r="W12" s="236">
        <f ca="1">'Commodity Price Assumptions'!$S$10</f>
        <v>3.84</v>
      </c>
      <c r="X12" s="236">
        <f ca="1">'Commodity Price Assumptions'!$S$10</f>
        <v>3.84</v>
      </c>
      <c r="Y12" s="236">
        <f ca="1">'Commodity Price Assumptions'!$S$10</f>
        <v>3.84</v>
      </c>
      <c r="Z12" s="236">
        <f ca="1">'Commodity Price Assumptions'!$S$10</f>
        <v>3.84</v>
      </c>
      <c r="AA12" s="236">
        <f ca="1">'Commodity Price Assumptions'!$S$10</f>
        <v>3.84</v>
      </c>
      <c r="AB12" s="236">
        <f ca="1">'Commodity Price Assumptions'!$S$10</f>
        <v>3.84</v>
      </c>
      <c r="AC12" s="236">
        <f ca="1">'Commodity Price Assumptions'!$S$10</f>
        <v>3.84</v>
      </c>
      <c r="AD12" s="236">
        <f ca="1">'Commodity Price Assumptions'!$S$10</f>
        <v>3.84</v>
      </c>
      <c r="AE12" s="236">
        <f ca="1">'Commodity Price Assumptions'!$S$10</f>
        <v>3.84</v>
      </c>
      <c r="AF12" s="236">
        <f ca="1">'Commodity Price Assumptions'!$S$10</f>
        <v>3.84</v>
      </c>
      <c r="AG12" s="236">
        <f ca="1">'Commodity Price Assumptions'!$S$10</f>
        <v>3.84</v>
      </c>
      <c r="AH12" s="236">
        <f ca="1">'Commodity Price Assumptions'!$S$10</f>
        <v>3.84</v>
      </c>
      <c r="AI12" s="236">
        <f ca="1">'Commodity Price Assumptions'!$S$10</f>
        <v>3.84</v>
      </c>
      <c r="AJ12" s="236">
        <f ca="1">'Commodity Price Assumptions'!$S$10</f>
        <v>3.84</v>
      </c>
      <c r="AK12" s="236">
        <f ca="1">'Commodity Price Assumptions'!$S$10</f>
        <v>3.84</v>
      </c>
      <c r="AL12" s="236">
        <f ca="1">'Commodity Price Assumptions'!$S$10</f>
        <v>3.84</v>
      </c>
      <c r="AM12" s="236">
        <f ca="1">'Commodity Price Assumptions'!$S$10</f>
        <v>3.84</v>
      </c>
      <c r="AN12" s="236">
        <f ca="1">'Commodity Price Assumptions'!$S$10</f>
        <v>3.84</v>
      </c>
      <c r="AO12" s="236">
        <f ca="1">'Commodity Price Assumptions'!$S$10</f>
        <v>3.84</v>
      </c>
      <c r="AP12" s="236">
        <f ca="1">'Commodity Price Assumptions'!$S$10</f>
        <v>3.84</v>
      </c>
      <c r="AQ12" s="236">
        <f ca="1">'Commodity Price Assumptions'!$S$10</f>
        <v>3.84</v>
      </c>
      <c r="AR12" s="236">
        <f ca="1">'Commodity Price Assumptions'!$S$10</f>
        <v>3.84</v>
      </c>
      <c r="AS12" s="236">
        <f ca="1">'Commodity Price Assumptions'!$S$10</f>
        <v>3.84</v>
      </c>
      <c r="AT12" s="236">
        <f ca="1">'Commodity Price Assumptions'!$S$10</f>
        <v>3.84</v>
      </c>
      <c r="AU12" s="236">
        <f ca="1">'Commodity Price Assumptions'!$S$10</f>
        <v>3.84</v>
      </c>
    </row>
    <row r="13" spans="1:51" s="235" customFormat="1" ht="16">
      <c r="F13" s="216" t="s">
        <v>317</v>
      </c>
      <c r="I13" s="242" t="s">
        <v>318</v>
      </c>
      <c r="K13" s="235">
        <f ca="1">'Commodity Price Assumptions'!O122</f>
        <v>21.877915917241378</v>
      </c>
      <c r="L13" s="235">
        <f ca="1">'Commodity Price Assumptions'!P122</f>
        <v>21.265246979310348</v>
      </c>
      <c r="M13" s="235">
        <f ca="1">'Commodity Price Assumptions'!Q122</f>
        <v>22.14891139827586</v>
      </c>
      <c r="N13" s="235">
        <f ca="1">'Commodity Price Assumptions'!R122</f>
        <v>21.493230634482764</v>
      </c>
      <c r="O13" s="235">
        <f ca="1">'Commodity Price Assumptions'!$S$122</f>
        <v>21.052987163793105</v>
      </c>
      <c r="P13" s="235">
        <f ca="1">'Commodity Price Assumptions'!$S$122</f>
        <v>21.052987163793105</v>
      </c>
      <c r="Q13" s="235">
        <f ca="1">'Commodity Price Assumptions'!$S$122</f>
        <v>21.052987163793105</v>
      </c>
      <c r="R13" s="235">
        <f ca="1">'Commodity Price Assumptions'!$S$122</f>
        <v>21.052987163793105</v>
      </c>
      <c r="S13" s="235">
        <f ca="1">'Commodity Price Assumptions'!$S$122</f>
        <v>21.052987163793105</v>
      </c>
      <c r="T13" s="235">
        <f ca="1">'Commodity Price Assumptions'!$S$122</f>
        <v>21.052987163793105</v>
      </c>
      <c r="U13" s="235">
        <f ca="1">'Commodity Price Assumptions'!$S$122</f>
        <v>21.052987163793105</v>
      </c>
      <c r="V13" s="235">
        <f ca="1">'Commodity Price Assumptions'!$S$122</f>
        <v>21.052987163793105</v>
      </c>
      <c r="W13" s="235">
        <f ca="1">'Commodity Price Assumptions'!$S$122</f>
        <v>21.052987163793105</v>
      </c>
      <c r="X13" s="235">
        <f ca="1">'Commodity Price Assumptions'!$S$122</f>
        <v>21.052987163793105</v>
      </c>
      <c r="Y13" s="235">
        <f ca="1">'Commodity Price Assumptions'!$S$122</f>
        <v>21.052987163793105</v>
      </c>
      <c r="Z13" s="235">
        <f ca="1">'Commodity Price Assumptions'!$S$122</f>
        <v>21.052987163793105</v>
      </c>
      <c r="AA13" s="235">
        <f ca="1">'Commodity Price Assumptions'!$S$122</f>
        <v>21.052987163793105</v>
      </c>
      <c r="AB13" s="235">
        <f ca="1">'Commodity Price Assumptions'!$S$122</f>
        <v>21.052987163793105</v>
      </c>
      <c r="AC13" s="235">
        <f ca="1">'Commodity Price Assumptions'!$S$122</f>
        <v>21.052987163793105</v>
      </c>
      <c r="AD13" s="235">
        <f ca="1">'Commodity Price Assumptions'!$S$122</f>
        <v>21.052987163793105</v>
      </c>
      <c r="AE13" s="235">
        <f ca="1">'Commodity Price Assumptions'!$S$122</f>
        <v>21.052987163793105</v>
      </c>
      <c r="AF13" s="235">
        <f ca="1">'Commodity Price Assumptions'!$S$122</f>
        <v>21.052987163793105</v>
      </c>
      <c r="AG13" s="235">
        <f ca="1">'Commodity Price Assumptions'!$S$122</f>
        <v>21.052987163793105</v>
      </c>
      <c r="AH13" s="235">
        <f ca="1">'Commodity Price Assumptions'!$S$122</f>
        <v>21.052987163793105</v>
      </c>
      <c r="AI13" s="235">
        <f ca="1">'Commodity Price Assumptions'!$S$122</f>
        <v>21.052987163793105</v>
      </c>
      <c r="AJ13" s="235">
        <f ca="1">'Commodity Price Assumptions'!$S$122</f>
        <v>21.052987163793105</v>
      </c>
      <c r="AK13" s="235">
        <f ca="1">'Commodity Price Assumptions'!$S$122</f>
        <v>21.052987163793105</v>
      </c>
      <c r="AL13" s="235">
        <f ca="1">'Commodity Price Assumptions'!$S$122</f>
        <v>21.052987163793105</v>
      </c>
      <c r="AM13" s="235">
        <f ca="1">'Commodity Price Assumptions'!$S$122</f>
        <v>21.052987163793105</v>
      </c>
      <c r="AN13" s="235">
        <f ca="1">'Commodity Price Assumptions'!$S$122</f>
        <v>21.052987163793105</v>
      </c>
      <c r="AO13" s="235">
        <f ca="1">'Commodity Price Assumptions'!$S$122</f>
        <v>21.052987163793105</v>
      </c>
      <c r="AP13" s="235">
        <f ca="1">'Commodity Price Assumptions'!$S$122</f>
        <v>21.052987163793105</v>
      </c>
      <c r="AQ13" s="235">
        <f ca="1">'Commodity Price Assumptions'!$S$122</f>
        <v>21.052987163793105</v>
      </c>
      <c r="AR13" s="235">
        <f ca="1">'Commodity Price Assumptions'!$S$122</f>
        <v>21.052987163793105</v>
      </c>
      <c r="AS13" s="235">
        <f ca="1">'Commodity Price Assumptions'!$S$122</f>
        <v>21.052987163793105</v>
      </c>
      <c r="AT13" s="235">
        <f ca="1">'Commodity Price Assumptions'!$S$122</f>
        <v>21.052987163793105</v>
      </c>
      <c r="AU13" s="235">
        <f ca="1">'Commodity Price Assumptions'!$S$122</f>
        <v>21.052987163793105</v>
      </c>
    </row>
    <row r="14" spans="1:51" s="235" customFormat="1" ht="16">
      <c r="F14" s="216" t="s">
        <v>62</v>
      </c>
      <c r="I14" s="242" t="s">
        <v>318</v>
      </c>
      <c r="K14" s="235">
        <f ca="1">'Commodity Price Assumptions'!O23</f>
        <v>64.742800000000003</v>
      </c>
      <c r="L14" s="235">
        <f ca="1">'Commodity Price Assumptions'!P23</f>
        <v>58.755600000000001</v>
      </c>
      <c r="M14" s="235">
        <f ca="1">'Commodity Price Assumptions'!Q23</f>
        <v>63.66</v>
      </c>
      <c r="N14" s="235">
        <f ca="1">'Commodity Price Assumptions'!R23</f>
        <v>67.539199999999994</v>
      </c>
      <c r="O14" s="235">
        <f ca="1">'Commodity Price Assumptions'!$S$23</f>
        <v>69.178899999999999</v>
      </c>
      <c r="P14" s="235">
        <f ca="1">'Commodity Price Assumptions'!$S$23</f>
        <v>69.178899999999999</v>
      </c>
      <c r="Q14" s="235">
        <f ca="1">'Commodity Price Assumptions'!$S$23</f>
        <v>69.178899999999999</v>
      </c>
      <c r="R14" s="235">
        <f ca="1">'Commodity Price Assumptions'!$S$23</f>
        <v>69.178899999999999</v>
      </c>
      <c r="S14" s="235">
        <f ca="1">'Commodity Price Assumptions'!$S$23</f>
        <v>69.178899999999999</v>
      </c>
      <c r="T14" s="235">
        <f ca="1">'Commodity Price Assumptions'!$S$23</f>
        <v>69.178899999999999</v>
      </c>
      <c r="U14" s="235">
        <f ca="1">'Commodity Price Assumptions'!$S$23</f>
        <v>69.178899999999999</v>
      </c>
      <c r="V14" s="235">
        <f ca="1">'Commodity Price Assumptions'!$S$23</f>
        <v>69.178899999999999</v>
      </c>
      <c r="W14" s="235">
        <f ca="1">'Commodity Price Assumptions'!$S$23</f>
        <v>69.178899999999999</v>
      </c>
      <c r="X14" s="235">
        <f ca="1">'Commodity Price Assumptions'!$S$23</f>
        <v>69.178899999999999</v>
      </c>
      <c r="Y14" s="235">
        <f ca="1">'Commodity Price Assumptions'!$S$23</f>
        <v>69.178899999999999</v>
      </c>
      <c r="Z14" s="235">
        <f ca="1">'Commodity Price Assumptions'!$S$23</f>
        <v>69.178899999999999</v>
      </c>
      <c r="AA14" s="235">
        <f ca="1">'Commodity Price Assumptions'!$S$23</f>
        <v>69.178899999999999</v>
      </c>
      <c r="AB14" s="235">
        <f ca="1">'Commodity Price Assumptions'!$S$23</f>
        <v>69.178899999999999</v>
      </c>
      <c r="AC14" s="235">
        <f ca="1">'Commodity Price Assumptions'!$S$23</f>
        <v>69.178899999999999</v>
      </c>
      <c r="AD14" s="235">
        <f ca="1">'Commodity Price Assumptions'!$S$23</f>
        <v>69.178899999999999</v>
      </c>
      <c r="AE14" s="235">
        <f ca="1">'Commodity Price Assumptions'!$S$23</f>
        <v>69.178899999999999</v>
      </c>
      <c r="AF14" s="235">
        <f ca="1">'Commodity Price Assumptions'!$S$23</f>
        <v>69.178899999999999</v>
      </c>
      <c r="AG14" s="235">
        <f ca="1">'Commodity Price Assumptions'!$S$23</f>
        <v>69.178899999999999</v>
      </c>
      <c r="AH14" s="235">
        <f ca="1">'Commodity Price Assumptions'!$S$23</f>
        <v>69.178899999999999</v>
      </c>
      <c r="AI14" s="235">
        <f ca="1">'Commodity Price Assumptions'!$S$23</f>
        <v>69.178899999999999</v>
      </c>
      <c r="AJ14" s="235">
        <f ca="1">'Commodity Price Assumptions'!$S$23</f>
        <v>69.178899999999999</v>
      </c>
      <c r="AK14" s="235">
        <f ca="1">'Commodity Price Assumptions'!$S$23</f>
        <v>69.178899999999999</v>
      </c>
      <c r="AL14" s="235">
        <f ca="1">'Commodity Price Assumptions'!$S$23</f>
        <v>69.178899999999999</v>
      </c>
      <c r="AM14" s="235">
        <f ca="1">'Commodity Price Assumptions'!$S$23</f>
        <v>69.178899999999999</v>
      </c>
      <c r="AN14" s="235">
        <f ca="1">'Commodity Price Assumptions'!$S$23</f>
        <v>69.178899999999999</v>
      </c>
      <c r="AO14" s="235">
        <f ca="1">'Commodity Price Assumptions'!$S$23</f>
        <v>69.178899999999999</v>
      </c>
      <c r="AP14" s="235">
        <f ca="1">'Commodity Price Assumptions'!$S$23</f>
        <v>69.178899999999999</v>
      </c>
      <c r="AQ14" s="235">
        <f ca="1">'Commodity Price Assumptions'!$S$23</f>
        <v>69.178899999999999</v>
      </c>
      <c r="AR14" s="235">
        <f ca="1">'Commodity Price Assumptions'!$S$23</f>
        <v>69.178899999999999</v>
      </c>
      <c r="AS14" s="235">
        <f ca="1">'Commodity Price Assumptions'!$S$23</f>
        <v>69.178899999999999</v>
      </c>
      <c r="AT14" s="235">
        <f ca="1">'Commodity Price Assumptions'!$S$23</f>
        <v>69.178899999999999</v>
      </c>
      <c r="AU14" s="235">
        <f ca="1">'Commodity Price Assumptions'!$S$23</f>
        <v>69.178899999999999</v>
      </c>
    </row>
    <row r="15" spans="1:51">
      <c r="I15" s="241"/>
    </row>
    <row r="16" spans="1:51">
      <c r="B16" s="37" t="s">
        <v>188</v>
      </c>
      <c r="C16" s="36" t="s">
        <v>319</v>
      </c>
      <c r="D16" s="36"/>
      <c r="E16" s="36"/>
      <c r="F16" s="36"/>
      <c r="G16" s="36"/>
      <c r="H16" s="36"/>
      <c r="I16" s="240" t="s">
        <v>50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</row>
    <row r="17" spans="1:50">
      <c r="I17" s="241"/>
    </row>
    <row r="18" spans="1:50" ht="16">
      <c r="F18" s="22" t="s">
        <v>60</v>
      </c>
      <c r="I18" s="242" t="s">
        <v>320</v>
      </c>
      <c r="K18" s="211">
        <f ca="1">'PD Reserves'!L25+'PUD Reserves'!L74</f>
        <v>564475.72274999996</v>
      </c>
      <c r="L18" s="211">
        <f ca="1">'PD Reserves'!M25+'PUD Reserves'!M74</f>
        <v>595943.26473749999</v>
      </c>
      <c r="M18" s="211">
        <f ca="1">'PD Reserves'!N25+'PUD Reserves'!N74</f>
        <v>612401.58275062498</v>
      </c>
      <c r="N18" s="211">
        <f ca="1">'PD Reserves'!O25+'PUD Reserves'!O74</f>
        <v>625274.35042436246</v>
      </c>
      <c r="O18" s="211">
        <f ca="1">'PD Reserves'!P25+'PUD Reserves'!P74</f>
        <v>632734.64246993896</v>
      </c>
      <c r="P18" s="211">
        <f ca="1">'PD Reserves'!Q25+'PUD Reserves'!Q74</f>
        <v>639433.36816644203</v>
      </c>
      <c r="Q18" s="211">
        <f ca="1">'PD Reserves'!R25+'PUD Reserves'!R74</f>
        <v>644518.53016651981</v>
      </c>
      <c r="R18" s="211">
        <f ca="1">'PD Reserves'!S25+'PUD Reserves'!S74</f>
        <v>632365.5428497775</v>
      </c>
      <c r="S18" s="211">
        <f ca="1">'PD Reserves'!T25+'PUD Reserves'!T74</f>
        <v>588236.02981997747</v>
      </c>
      <c r="T18" s="211">
        <f ca="1">'PD Reserves'!U25+'PUD Reserves'!U74</f>
        <v>540874.83000160498</v>
      </c>
      <c r="U18" s="211">
        <f ca="1">'PD Reserves'!V25+'PUD Reserves'!V74</f>
        <v>504648.92233514716</v>
      </c>
      <c r="V18" s="211">
        <f ca="1">'PD Reserves'!W25+'PUD Reserves'!W74</f>
        <v>474260.78192640108</v>
      </c>
      <c r="W18" s="211">
        <f ca="1">'PD Reserves'!X25+'PUD Reserves'!X74</f>
        <v>445753.6571351001</v>
      </c>
      <c r="X18" s="211">
        <f ca="1">'PD Reserves'!Y25+'PUD Reserves'!Y74</f>
        <v>420883.91771289578</v>
      </c>
      <c r="Y18" s="211">
        <f ca="1">'PD Reserves'!Z25+'PUD Reserves'!Z74</f>
        <v>398433.05756374687</v>
      </c>
      <c r="Z18" s="211">
        <f ca="1">'PD Reserves'!AA25+'PUD Reserves'!AA74</f>
        <v>378682.6544647796</v>
      </c>
      <c r="AA18" s="211">
        <f ca="1">'PD Reserves'!AB25+'PUD Reserves'!AB74</f>
        <v>359223.10505911987</v>
      </c>
      <c r="AB18" s="211">
        <f ca="1">'PD Reserves'!AC25+'PUD Reserves'!AC74</f>
        <v>341738.47810582269</v>
      </c>
      <c r="AC18" s="211">
        <f ca="1">'PD Reserves'!AD25+'PUD Reserves'!AD74</f>
        <v>325320.16152522934</v>
      </c>
      <c r="AD18" s="211">
        <f ca="1">'PD Reserves'!AE25+'PUD Reserves'!AE74</f>
        <v>310402.61513882392</v>
      </c>
      <c r="AE18" s="211">
        <f ca="1">'PD Reserves'!AF25+'PUD Reserves'!AF74</f>
        <v>295291.64730874466</v>
      </c>
      <c r="AF18" s="211">
        <f ca="1">'PD Reserves'!AG25+'PUD Reserves'!AG74</f>
        <v>281539.70949189231</v>
      </c>
      <c r="AG18" s="211">
        <f ca="1">'PD Reserves'!AH25+'PUD Reserves'!AH74</f>
        <v>268476.02084147761</v>
      </c>
      <c r="AH18" s="211">
        <f ca="1">'PD Reserves'!AI25+'PUD Reserves'!AI74</f>
        <v>256470.57255728554</v>
      </c>
      <c r="AI18" s="211">
        <f ca="1">'PD Reserves'!AJ25+'PUD Reserves'!AJ74</f>
        <v>244157.58986624994</v>
      </c>
      <c r="AJ18" s="211">
        <f ca="1">'PD Reserves'!AK25+'PUD Reserves'!AK74</f>
        <v>232846.21055197515</v>
      </c>
      <c r="AK18" s="211">
        <f ca="1">'PD Reserves'!AL25+'PUD Reserves'!AL74</f>
        <v>222064.54019625258</v>
      </c>
      <c r="AL18" s="211">
        <f ca="1">'PD Reserves'!AM25+'PUD Reserves'!AM74</f>
        <v>211585.66275055584</v>
      </c>
      <c r="AM18" s="211">
        <f ca="1">'PD Reserves'!AN25+'PUD Reserves'!AN74</f>
        <v>172015.71251662029</v>
      </c>
      <c r="AN18" s="211">
        <f ca="1">'PD Reserves'!AO25+'PUD Reserves'!AO74</f>
        <v>59169.381978018821</v>
      </c>
      <c r="AO18" s="211">
        <f ca="1">'PD Reserves'!AP25+'PUD Reserves'!AP74</f>
        <v>48109.316793885744</v>
      </c>
      <c r="AP18" s="211">
        <f ca="1">'PD Reserves'!AQ25+'PUD Reserves'!AQ74</f>
        <v>37491.654217118004</v>
      </c>
      <c r="AQ18" s="211">
        <f ca="1">'PD Reserves'!AR25+'PUD Reserves'!AR74</f>
        <v>27298.698143420981</v>
      </c>
      <c r="AR18" s="211">
        <f ca="1">'PD Reserves'!AS25+'PUD Reserves'!AS74</f>
        <v>17513.460312671828</v>
      </c>
      <c r="AS18" s="211">
        <f ca="1">'PD Reserves'!AT25+'PUD Reserves'!AT74</f>
        <v>8393.0063757371954</v>
      </c>
      <c r="AT18" s="211">
        <f ca="1">'PD Reserves'!AU25+'PUD Reserves'!AU74</f>
        <v>2032.6609942786247</v>
      </c>
      <c r="AU18" s="206">
        <f>'PD Reserves'!AV25+'PUD Reserves'!AV74</f>
        <v>0</v>
      </c>
      <c r="AV18" s="206"/>
      <c r="AW18" s="206"/>
      <c r="AX18" s="206"/>
    </row>
    <row r="19" spans="1:50" ht="16">
      <c r="F19" s="216" t="s">
        <v>317</v>
      </c>
      <c r="I19" s="242" t="s">
        <v>321</v>
      </c>
      <c r="K19" s="211">
        <f ca="1">'PD Reserves'!L26+'PUD Reserves'!L75</f>
        <v>41010.328664999994</v>
      </c>
      <c r="L19" s="211">
        <f ca="1">'PD Reserves'!M26+'PUD Reserves'!M75</f>
        <v>43296.51066924999</v>
      </c>
      <c r="M19" s="211">
        <f ca="1">'PD Reserves'!N26+'PUD Reserves'!N75</f>
        <v>44492.241510787491</v>
      </c>
      <c r="N19" s="211">
        <f ca="1">'PD Reserves'!O26+'PUD Reserves'!O75</f>
        <v>45427.474704796739</v>
      </c>
      <c r="O19" s="211">
        <f ca="1">'PD Reserves'!P26+'PUD Reserves'!P75</f>
        <v>45969.480350735699</v>
      </c>
      <c r="P19" s="211">
        <f ca="1">'PD Reserves'!Q26+'PUD Reserves'!Q75</f>
        <v>46456.156626398923</v>
      </c>
      <c r="Q19" s="211">
        <f ca="1">'PD Reserves'!R26+'PUD Reserves'!R75</f>
        <v>46825.604162462965</v>
      </c>
      <c r="R19" s="211">
        <f ca="1">'PD Reserves'!S26+'PUD Reserves'!S75</f>
        <v>45942.664499986262</v>
      </c>
      <c r="S19" s="211">
        <f ca="1">'PD Reserves'!T26+'PUD Reserves'!T75</f>
        <v>42736.564112955049</v>
      </c>
      <c r="T19" s="211">
        <f ca="1">'PD Reserves'!U26+'PUD Reserves'!U75</f>
        <v>39295.674997196897</v>
      </c>
      <c r="U19" s="211">
        <f ca="1">'PD Reserves'!V26+'PUD Reserves'!V75</f>
        <v>36663.787885468344</v>
      </c>
      <c r="V19" s="211">
        <f ca="1">'PD Reserves'!W26+'PUD Reserves'!W75</f>
        <v>34456.026638253854</v>
      </c>
      <c r="W19" s="211">
        <f ca="1">'PD Reserves'!X26+'PUD Reserves'!X75</f>
        <v>32384.925065825028</v>
      </c>
      <c r="X19" s="211">
        <f ca="1">'PD Reserves'!Y26+'PUD Reserves'!Y75</f>
        <v>30578.087063034225</v>
      </c>
      <c r="Y19" s="211">
        <f ca="1">'PD Reserves'!Z26+'PUD Reserves'!Z75</f>
        <v>28946.98564197927</v>
      </c>
      <c r="Z19" s="211">
        <f ca="1">'PD Reserves'!AA26+'PUD Reserves'!AA75</f>
        <v>27512.078010506855</v>
      </c>
      <c r="AA19" s="211">
        <f ca="1">'PD Reserves'!AB26+'PUD Reserves'!AB75</f>
        <v>26098.301501375467</v>
      </c>
      <c r="AB19" s="211">
        <f ca="1">'PD Reserves'!AC26+'PUD Reserves'!AC75</f>
        <v>24828.007192797719</v>
      </c>
      <c r="AC19" s="211">
        <f ca="1">'PD Reserves'!AD26+'PUD Reserves'!AD75</f>
        <v>23635.182538061672</v>
      </c>
      <c r="AD19" s="211">
        <f ca="1">'PD Reserves'!AE26+'PUD Reserves'!AE75</f>
        <v>22551.39194171601</v>
      </c>
      <c r="AE19" s="211">
        <f ca="1">'PD Reserves'!AF26+'PUD Reserves'!AF75</f>
        <v>21453.54887746743</v>
      </c>
      <c r="AF19" s="211">
        <f ca="1">'PD Reserves'!AG26+'PUD Reserves'!AG75</f>
        <v>20454.442154325796</v>
      </c>
      <c r="AG19" s="211">
        <f ca="1">'PD Reserves'!AH26+'PUD Reserves'!AH75</f>
        <v>19505.338156512214</v>
      </c>
      <c r="AH19" s="211">
        <f ca="1">'PD Reserves'!AI26+'PUD Reserves'!AI75</f>
        <v>18633.11750987967</v>
      </c>
      <c r="AI19" s="211">
        <f ca="1">'PD Reserves'!AJ26+'PUD Reserves'!AJ75</f>
        <v>17738.553852569883</v>
      </c>
      <c r="AJ19" s="211">
        <f ca="1">'PD Reserves'!AK26+'PUD Reserves'!AK75</f>
        <v>16916.758752024274</v>
      </c>
      <c r="AK19" s="211">
        <f ca="1">'PD Reserves'!AL26+'PUD Reserves'!AL75</f>
        <v>16133.448102822629</v>
      </c>
      <c r="AL19" s="211">
        <f ca="1">'PD Reserves'!AM26+'PUD Reserves'!AM75</f>
        <v>15372.135984748411</v>
      </c>
      <c r="AM19" s="211">
        <f ca="1">'PD Reserves'!AN26+'PUD Reserves'!AN75</f>
        <v>12497.297264589492</v>
      </c>
      <c r="AN19" s="211">
        <f ca="1">'PD Reserves'!AO26+'PUD Reserves'!AO75</f>
        <v>4298.7779704711475</v>
      </c>
      <c r="AO19" s="211">
        <f ca="1">'PD Reserves'!AP26+'PUD Reserves'!AP75</f>
        <v>3495.2413612297519</v>
      </c>
      <c r="AP19" s="211">
        <f ca="1">'PD Reserves'!AQ26+'PUD Reserves'!AQ75</f>
        <v>2723.8462163580134</v>
      </c>
      <c r="AQ19" s="211">
        <f ca="1">'PD Reserves'!AR26+'PUD Reserves'!AR75</f>
        <v>1983.3068772811446</v>
      </c>
      <c r="AR19" s="211">
        <f ca="1">'PD Reserves'!AS26+'PUD Reserves'!AS75</f>
        <v>1272.3891117673495</v>
      </c>
      <c r="AS19" s="211">
        <f ca="1">'PD Reserves'!AT26+'PUD Reserves'!AT75</f>
        <v>609.76927099638112</v>
      </c>
      <c r="AT19" s="211">
        <f ca="1">'PD Reserves'!AU26+'PUD Reserves'!AU75</f>
        <v>147.67702503445187</v>
      </c>
      <c r="AU19" s="206">
        <f>'PD Reserves'!AV26+'PUD Reserves'!AV75</f>
        <v>0</v>
      </c>
      <c r="AV19" s="206"/>
      <c r="AW19" s="206"/>
      <c r="AX19" s="206"/>
    </row>
    <row r="20" spans="1:50" s="28" customFormat="1" ht="16">
      <c r="A20" s="22"/>
      <c r="F20" s="237" t="s">
        <v>62</v>
      </c>
      <c r="I20" s="242" t="s">
        <v>321</v>
      </c>
      <c r="K20" s="246">
        <f ca="1">'PD Reserves'!L27+'PUD Reserves'!L76</f>
        <v>2252.4092099999998</v>
      </c>
      <c r="L20" s="246">
        <f ca="1">'PD Reserves'!M27+'PUD Reserves'!M76</f>
        <v>2377.9731245000003</v>
      </c>
      <c r="M20" s="246">
        <f ca="1">'PD Reserves'!N27+'PUD Reserves'!N76</f>
        <v>2443.6462182749997</v>
      </c>
      <c r="N20" s="246">
        <f ca="1">'PD Reserves'!O27+'PUD Reserves'!O76</f>
        <v>2495.0120065595002</v>
      </c>
      <c r="O20" s="246">
        <f ca="1">'PD Reserves'!P27+'PUD Reserves'!P76</f>
        <v>2524.7805684931868</v>
      </c>
      <c r="P20" s="246">
        <f ca="1">'PD Reserves'!Q27+'PUD Reserves'!Q76</f>
        <v>2551.5102768685279</v>
      </c>
      <c r="Q20" s="246">
        <f ca="1">'PD Reserves'!R27+'PUD Reserves'!R76</f>
        <v>2571.8014342411011</v>
      </c>
      <c r="R20" s="246">
        <f ca="1">'PD Reserves'!S27+'PUD Reserves'!S76</f>
        <v>2523.3077622229566</v>
      </c>
      <c r="S20" s="246">
        <f ca="1">'PD Reserves'!T27+'PUD Reserves'!T76</f>
        <v>2347.219194415482</v>
      </c>
      <c r="T20" s="246">
        <f ca="1">'PD Reserves'!U27+'PUD Reserves'!U76</f>
        <v>2158.2353313932658</v>
      </c>
      <c r="U20" s="246">
        <f ca="1">'PD Reserves'!V27+'PUD Reserves'!V76</f>
        <v>2013.6842643056966</v>
      </c>
      <c r="V20" s="246">
        <f ca="1">'PD Reserves'!W27+'PUD Reserves'!W76</f>
        <v>1892.4274509958584</v>
      </c>
      <c r="W20" s="246">
        <f ca="1">'PD Reserves'!X27+'PUD Reserves'!X76</f>
        <v>1778.6763934344626</v>
      </c>
      <c r="X20" s="246">
        <f ca="1">'PD Reserves'!Y27+'PUD Reserves'!Y76</f>
        <v>1679.439477005229</v>
      </c>
      <c r="Y20" s="246">
        <f ca="1">'PD Reserves'!Z27+'PUD Reserves'!Z76</f>
        <v>1589.8545362640994</v>
      </c>
      <c r="Z20" s="246">
        <f ca="1">'PD Reserves'!AA27+'PUD Reserves'!AA76</f>
        <v>1511.0451419032568</v>
      </c>
      <c r="AA20" s="246">
        <f ca="1">'PD Reserves'!AB27+'PUD Reserves'!AB76</f>
        <v>1433.3963316227653</v>
      </c>
      <c r="AB20" s="246">
        <f ca="1">'PD Reserves'!AC27+'PUD Reserves'!AC76</f>
        <v>1363.6279904952535</v>
      </c>
      <c r="AC20" s="246">
        <f ca="1">'PD Reserves'!AD27+'PUD Reserves'!AD76</f>
        <v>1298.1145131420344</v>
      </c>
      <c r="AD20" s="246">
        <f ca="1">'PD Reserves'!AE27+'PUD Reserves'!AE76</f>
        <v>1238.5895105296138</v>
      </c>
      <c r="AE20" s="246">
        <f ca="1">'PD Reserves'!AF27+'PUD Reserves'!AF76</f>
        <v>1178.2927045896381</v>
      </c>
      <c r="AF20" s="246">
        <f ca="1">'PD Reserves'!AG27+'PUD Reserves'!AG76</f>
        <v>1123.4187921330981</v>
      </c>
      <c r="AG20" s="246">
        <f ca="1">'PD Reserves'!AH27+'PUD Reserves'!AH76</f>
        <v>1071.2911780535846</v>
      </c>
      <c r="AH20" s="246">
        <f ca="1">'PD Reserves'!AI27+'PUD Reserves'!AI76</f>
        <v>1023.3862262626478</v>
      </c>
      <c r="AI20" s="246">
        <f ca="1">'PD Reserves'!AJ27+'PUD Reserves'!AJ76</f>
        <v>974.25412987992695</v>
      </c>
      <c r="AJ20" s="246">
        <f ca="1">'PD Reserves'!AK27+'PUD Reserves'!AK76</f>
        <v>929.11869903951151</v>
      </c>
      <c r="AK20" s="246">
        <f ca="1">'PD Reserves'!AL27+'PUD Reserves'!AL76</f>
        <v>886.09694871497368</v>
      </c>
      <c r="AL20" s="246">
        <f ca="1">'PD Reserves'!AM27+'PUD Reserves'!AM76</f>
        <v>844.28342314090401</v>
      </c>
      <c r="AM20" s="246">
        <f ca="1">'PD Reserves'!AN27+'PUD Reserves'!AN76</f>
        <v>686.38873120987182</v>
      </c>
      <c r="AN20" s="246">
        <f ca="1">'PD Reserves'!AO27+'PUD Reserves'!AO76</f>
        <v>236.1016701799291</v>
      </c>
      <c r="AO20" s="246">
        <f ca="1">'PD Reserves'!AP27+'PUD Reserves'!AP76</f>
        <v>191.96904998046867</v>
      </c>
      <c r="AP20" s="246">
        <f ca="1">'PD Reserves'!AQ27+'PUD Reserves'!AQ76</f>
        <v>149.60173458898669</v>
      </c>
      <c r="AQ20" s="246">
        <f ca="1">'PD Reserves'!AR27+'PUD Reserves'!AR76</f>
        <v>108.92911181316401</v>
      </c>
      <c r="AR20" s="246">
        <f ca="1">'PD Reserves'!AS27+'PUD Reserves'!AS76</f>
        <v>69.883393948374206</v>
      </c>
      <c r="AS20" s="246">
        <f ca="1">'PD Reserves'!AT27+'PUD Reserves'!AT76</f>
        <v>33.490341742600982</v>
      </c>
      <c r="AT20" s="246">
        <f ca="1">'PD Reserves'!AU27+'PUD Reserves'!AU76</f>
        <v>8.1108613883623963</v>
      </c>
      <c r="AU20" s="238">
        <f>'PD Reserves'!AV27+'PUD Reserves'!AV76</f>
        <v>0</v>
      </c>
      <c r="AV20" s="238"/>
      <c r="AW20" s="238"/>
      <c r="AX20" s="238"/>
    </row>
    <row r="21" spans="1:50" ht="16">
      <c r="F21" s="22" t="s">
        <v>322</v>
      </c>
      <c r="I21" s="243" t="s">
        <v>65</v>
      </c>
      <c r="K21" s="211">
        <f ca="1">'PD Reserves'!L24+'PUD Reserves'!L73</f>
        <v>824052.14999999991</v>
      </c>
      <c r="L21" s="211">
        <f ca="1">'PD Reserves'!M24+'PUD Reserves'!M73</f>
        <v>869990.16749999998</v>
      </c>
      <c r="M21" s="211">
        <f ca="1">'PD Reserves'!N24+'PUD Reserves'!N73</f>
        <v>894016.90912499989</v>
      </c>
      <c r="N21" s="211">
        <f ca="1">'PD Reserves'!O24+'PUD Reserves'!O73</f>
        <v>912809.27069249982</v>
      </c>
      <c r="O21" s="211">
        <f ca="1">'PD Reserves'!P24+'PUD Reserves'!P73</f>
        <v>923700.20798531221</v>
      </c>
      <c r="P21" s="211">
        <f ca="1">'PD Reserves'!Q24+'PUD Reserves'!Q73</f>
        <v>933479.36958604667</v>
      </c>
      <c r="Q21" s="211">
        <f ca="1">'PD Reserves'!R24+'PUD Reserves'!R73</f>
        <v>940902.96374674421</v>
      </c>
      <c r="R21" s="211">
        <f ca="1">'PD Reserves'!S24+'PUD Reserves'!S73</f>
        <v>923161.37642303272</v>
      </c>
      <c r="S21" s="211">
        <f ca="1">'PD Reserves'!T24+'PUD Reserves'!T73</f>
        <v>858738.72966420068</v>
      </c>
      <c r="T21" s="211">
        <f ca="1">'PD Reserves'!U24+'PUD Reserves'!U73</f>
        <v>789598.29197314591</v>
      </c>
      <c r="U21" s="211">
        <f ca="1">'PD Reserves'!V24+'PUD Reserves'!V73</f>
        <v>736713.75523379142</v>
      </c>
      <c r="V21" s="211">
        <f ca="1">'PD Reserves'!W24+'PUD Reserves'!W73</f>
        <v>692351.50646189926</v>
      </c>
      <c r="W21" s="211">
        <f ca="1">'PD Reserves'!X24+'PUD Reserves'!X73</f>
        <v>650735.26589065697</v>
      </c>
      <c r="X21" s="211">
        <f ca="1">'PD Reserves'!Y24+'PUD Reserves'!Y73</f>
        <v>614429.0769531324</v>
      </c>
      <c r="Y21" s="211">
        <f ca="1">'PD Reserves'!Z24+'PUD Reserves'!Z73</f>
        <v>581654.09863320703</v>
      </c>
      <c r="Z21" s="211">
        <f ca="1">'PD Reserves'!AA24+'PUD Reserves'!AA73</f>
        <v>552821.3933792403</v>
      </c>
      <c r="AA21" s="211">
        <f ca="1">'PD Reserves'!AB24+'PUD Reserves'!AB73</f>
        <v>524413.29205710918</v>
      </c>
      <c r="AB21" s="211">
        <f ca="1">'PD Reserves'!AC24+'PUD Reserves'!AC73</f>
        <v>498888.28920558048</v>
      </c>
      <c r="AC21" s="211">
        <f ca="1">'PD Reserves'!AD24+'PUD Reserves'!AD73</f>
        <v>474919.94383245154</v>
      </c>
      <c r="AD21" s="211">
        <f ca="1">'PD Reserves'!AE24+'PUD Reserves'!AE73</f>
        <v>453142.50385229767</v>
      </c>
      <c r="AE21" s="211">
        <f ca="1">'PD Reserves'!AF24+'PUD Reserves'!AF73</f>
        <v>431082.696801087</v>
      </c>
      <c r="AF21" s="211">
        <f ca="1">'PD Reserves'!AG24+'PUD Reserves'!AG73</f>
        <v>411006.87517064565</v>
      </c>
      <c r="AG21" s="211">
        <f ca="1">'PD Reserves'!AH24+'PUD Reserves'!AH73</f>
        <v>391935.79684887244</v>
      </c>
      <c r="AH21" s="211">
        <f ca="1">'PD Reserves'!AI24+'PUD Reserves'!AI73</f>
        <v>374409.59497413941</v>
      </c>
      <c r="AI21" s="211">
        <f ca="1">'PD Reserves'!AJ24+'PUD Reserves'!AJ73</f>
        <v>356434.43776094879</v>
      </c>
      <c r="AJ21" s="211">
        <f ca="1">'PD Reserves'!AK24+'PUD Reserves'!AK73</f>
        <v>339921.47525835782</v>
      </c>
      <c r="AK21" s="211">
        <f ca="1">'PD Reserves'!AL24+'PUD Reserves'!AL73</f>
        <v>324181.81050547818</v>
      </c>
      <c r="AL21" s="211">
        <f ca="1">'PD Reserves'!AM24+'PUD Reserves'!AM73</f>
        <v>308884.17919789173</v>
      </c>
      <c r="AM21" s="211">
        <f ca="1">'PD Reserves'!AN24+'PUD Reserves'!AN73</f>
        <v>251117.82849141647</v>
      </c>
      <c r="AN21" s="211">
        <f ca="1">'PD Reserves'!AO24+'PUD Reserves'!AO73</f>
        <v>86378.659821925277</v>
      </c>
      <c r="AO21" s="211">
        <f ca="1">'PD Reserves'!AP24+'PUD Reserves'!AP73</f>
        <v>70232.579261147068</v>
      </c>
      <c r="AP21" s="211">
        <f ca="1">'PD Reserves'!AQ24+'PUD Reserves'!AQ73</f>
        <v>54732.341922800006</v>
      </c>
      <c r="AQ21" s="211">
        <f ca="1">'PD Reserves'!AR24+'PUD Reserves'!AR73</f>
        <v>39852.114077986829</v>
      </c>
      <c r="AR21" s="211">
        <f ca="1">'PD Reserves'!AS24+'PUD Reserves'!AS73</f>
        <v>25567.095346966169</v>
      </c>
      <c r="AS21" s="211">
        <f ca="1">'PD Reserves'!AT24+'PUD Reserves'!AT73</f>
        <v>12252.564052171088</v>
      </c>
      <c r="AT21" s="211">
        <f ca="1">'PD Reserves'!AU24+'PUD Reserves'!AU73</f>
        <v>2967.3883128155103</v>
      </c>
      <c r="AU21" s="206">
        <f>'PD Reserves'!AV24+'PUD Reserves'!AV73</f>
        <v>0</v>
      </c>
    </row>
    <row r="22" spans="1:50" ht="16">
      <c r="F22" s="22" t="s">
        <v>245</v>
      </c>
      <c r="I22" s="242" t="s">
        <v>323</v>
      </c>
      <c r="K22" s="206">
        <f ca="1">IFERROR(K21/365,"N/A")</f>
        <v>2257.6771232876708</v>
      </c>
      <c r="L22" s="206">
        <f t="shared" ref="L22:AU22" ca="1" si="0">IFERROR(L21/365,"N/A")</f>
        <v>2383.534705479452</v>
      </c>
      <c r="M22" s="206">
        <f t="shared" ca="1" si="0"/>
        <v>2449.3613948630132</v>
      </c>
      <c r="N22" s="206">
        <f t="shared" ca="1" si="0"/>
        <v>2500.8473169657527</v>
      </c>
      <c r="O22" s="206">
        <f t="shared" ca="1" si="0"/>
        <v>2530.6855013296226</v>
      </c>
      <c r="P22" s="206">
        <f t="shared" ca="1" si="0"/>
        <v>2557.4777248932787</v>
      </c>
      <c r="Q22" s="206">
        <f t="shared" ca="1" si="0"/>
        <v>2577.8163390321761</v>
      </c>
      <c r="R22" s="206">
        <f t="shared" ca="1" si="0"/>
        <v>2529.2092504740622</v>
      </c>
      <c r="S22" s="206">
        <f t="shared" ca="1" si="0"/>
        <v>2352.7088483950702</v>
      </c>
      <c r="T22" s="206">
        <f t="shared" ca="1" si="0"/>
        <v>2163.282991707249</v>
      </c>
      <c r="U22" s="206">
        <f t="shared" ca="1" si="0"/>
        <v>2018.3938499555929</v>
      </c>
      <c r="V22" s="206">
        <f t="shared" ca="1" si="0"/>
        <v>1896.8534423613678</v>
      </c>
      <c r="W22" s="206">
        <f t="shared" ca="1" si="0"/>
        <v>1782.8363449059095</v>
      </c>
      <c r="X22" s="206">
        <f t="shared" ca="1" si="0"/>
        <v>1683.3673341181709</v>
      </c>
      <c r="Y22" s="206">
        <f t="shared" ca="1" si="0"/>
        <v>1593.5728729676905</v>
      </c>
      <c r="Z22" s="206">
        <f t="shared" ca="1" si="0"/>
        <v>1514.5791599431241</v>
      </c>
      <c r="AA22" s="206">
        <f t="shared" ca="1" si="0"/>
        <v>1436.7487453619431</v>
      </c>
      <c r="AB22" s="206">
        <f t="shared" ca="1" si="0"/>
        <v>1366.8172307002205</v>
      </c>
      <c r="AC22" s="206">
        <f t="shared" ca="1" si="0"/>
        <v>1301.1505310478124</v>
      </c>
      <c r="AD22" s="206">
        <f t="shared" ca="1" si="0"/>
        <v>1241.4863119241031</v>
      </c>
      <c r="AE22" s="206">
        <f t="shared" ca="1" si="0"/>
        <v>1181.0484843865397</v>
      </c>
      <c r="AF22" s="206">
        <f t="shared" ca="1" si="0"/>
        <v>1126.0462333442347</v>
      </c>
      <c r="AG22" s="206">
        <f t="shared" ca="1" si="0"/>
        <v>1073.7967036955411</v>
      </c>
      <c r="AH22" s="206">
        <f t="shared" ca="1" si="0"/>
        <v>1025.7797122579161</v>
      </c>
      <c r="AI22" s="206">
        <f t="shared" ca="1" si="0"/>
        <v>976.53270619438024</v>
      </c>
      <c r="AJ22" s="206">
        <f t="shared" ca="1" si="0"/>
        <v>931.29171303659678</v>
      </c>
      <c r="AK22" s="206">
        <f t="shared" ca="1" si="0"/>
        <v>888.16934385062518</v>
      </c>
      <c r="AL22" s="206">
        <f t="shared" ca="1" si="0"/>
        <v>846.25802519970341</v>
      </c>
      <c r="AM22" s="206">
        <f t="shared" ca="1" si="0"/>
        <v>687.99405066141503</v>
      </c>
      <c r="AN22" s="206">
        <f t="shared" ca="1" si="0"/>
        <v>236.65386252582269</v>
      </c>
      <c r="AO22" s="206">
        <f t="shared" ca="1" si="0"/>
        <v>192.41802537300566</v>
      </c>
      <c r="AP22" s="206">
        <f t="shared" ca="1" si="0"/>
        <v>149.95162170630138</v>
      </c>
      <c r="AQ22" s="206">
        <f t="shared" ca="1" si="0"/>
        <v>109.18387418626529</v>
      </c>
      <c r="AR22" s="206">
        <f t="shared" ca="1" si="0"/>
        <v>70.046836567030596</v>
      </c>
      <c r="AS22" s="206">
        <f t="shared" ca="1" si="0"/>
        <v>33.568668636085171</v>
      </c>
      <c r="AT22" s="206">
        <f t="shared" ca="1" si="0"/>
        <v>8.1298309940150961</v>
      </c>
      <c r="AU22" s="206">
        <f t="shared" si="0"/>
        <v>0</v>
      </c>
    </row>
    <row r="23" spans="1:50">
      <c r="I23" s="241"/>
    </row>
    <row r="24" spans="1:50" ht="16">
      <c r="F24" s="239" t="s">
        <v>324</v>
      </c>
      <c r="I24" s="22" t="s">
        <v>65</v>
      </c>
      <c r="K24" s="211">
        <f>'PD Reserves'!L24</f>
        <v>772489.64999999991</v>
      </c>
      <c r="L24" s="211">
        <f>'PD Reserves'!M24</f>
        <v>733865.16749999998</v>
      </c>
      <c r="M24" s="211">
        <f>'PD Reserves'!N24</f>
        <v>697171.90912499989</v>
      </c>
      <c r="N24" s="211">
        <f>'PD Reserves'!O24</f>
        <v>664127.87069249991</v>
      </c>
      <c r="O24" s="211">
        <f>'PD Reserves'!P24</f>
        <v>629197.64798531227</v>
      </c>
      <c r="P24" s="211">
        <f>'PD Reserves'!Q24</f>
        <v>597737.76558604673</v>
      </c>
      <c r="Q24" s="211">
        <f>'PD Reserves'!R24</f>
        <v>567850.87730674434</v>
      </c>
      <c r="R24" s="211">
        <f>'PD Reserves'!S24</f>
        <v>540936.30147823284</v>
      </c>
      <c r="S24" s="211">
        <f>'PD Reserves'!T24</f>
        <v>512485.41676933668</v>
      </c>
      <c r="T24" s="211">
        <f>'PD Reserves'!U24</f>
        <v>486861.14593086985</v>
      </c>
      <c r="U24" s="211">
        <f>'PD Reserves'!V24</f>
        <v>462518.0886343263</v>
      </c>
      <c r="V24" s="211">
        <f>'PD Reserves'!W24</f>
        <v>440595.9984059048</v>
      </c>
      <c r="W24" s="211">
        <f>'PD Reserves'!X24</f>
        <v>417422.57499247947</v>
      </c>
      <c r="X24" s="211">
        <f>'PD Reserves'!Y24</f>
        <v>396551.44624285551</v>
      </c>
      <c r="Y24" s="211">
        <f>'PD Reserves'!Z24</f>
        <v>376723.8739307127</v>
      </c>
      <c r="Z24" s="211">
        <f>'PD Reserves'!AA24</f>
        <v>358868.19442659942</v>
      </c>
      <c r="AA24" s="211">
        <f>'PD Reserves'!AB24</f>
        <v>339993.2962224682</v>
      </c>
      <c r="AB24" s="211">
        <f>'PD Reserves'!AC24</f>
        <v>322993.63141134474</v>
      </c>
      <c r="AC24" s="211">
        <f>'PD Reserves'!AD24</f>
        <v>306843.9498407775</v>
      </c>
      <c r="AD24" s="211">
        <f>'PD Reserves'!AE24</f>
        <v>292300.38728668034</v>
      </c>
      <c r="AE24" s="211">
        <f>'PD Reserves'!AF24</f>
        <v>276926.66473130172</v>
      </c>
      <c r="AF24" s="211">
        <f>'PD Reserves'!AG24</f>
        <v>263080.3314947366</v>
      </c>
      <c r="AG24" s="211">
        <f>'PD Reserves'!AH24</f>
        <v>249926.31491999974</v>
      </c>
      <c r="AH24" s="211">
        <f>'PD Reserves'!AI24</f>
        <v>238080.49232242166</v>
      </c>
      <c r="AI24" s="211">
        <f>'PD Reserves'!AJ24</f>
        <v>225558.49921529976</v>
      </c>
      <c r="AJ24" s="211">
        <f>'PD Reserves'!AK24</f>
        <v>214280.57425453476</v>
      </c>
      <c r="AK24" s="211">
        <f>'PD Reserves'!AL24</f>
        <v>203566.54554180801</v>
      </c>
      <c r="AL24" s="211">
        <f>'PD Reserves'!AM24</f>
        <v>193918.0489996894</v>
      </c>
      <c r="AM24" s="211">
        <f>'PD Reserves'!AN24</f>
        <v>147920.33475201391</v>
      </c>
      <c r="AN24" s="211">
        <f>'PD Reserves'!AO24</f>
        <v>0</v>
      </c>
      <c r="AO24" s="211">
        <f>'PD Reserves'!AP24</f>
        <v>0</v>
      </c>
      <c r="AP24" s="211">
        <f>'PD Reserves'!AQ24</f>
        <v>0</v>
      </c>
      <c r="AQ24" s="211">
        <f>'PD Reserves'!AR24</f>
        <v>0</v>
      </c>
      <c r="AR24" s="211">
        <f>'PD Reserves'!AS24</f>
        <v>0</v>
      </c>
      <c r="AS24" s="211">
        <f>'PD Reserves'!AT24</f>
        <v>0</v>
      </c>
      <c r="AT24" s="211">
        <f>'PD Reserves'!AU24</f>
        <v>0</v>
      </c>
      <c r="AU24" s="211">
        <f>'PD Reserves'!AV24</f>
        <v>0</v>
      </c>
      <c r="AW24" s="206">
        <f>SUM(K24:AU24)</f>
        <v>11930792.999999996</v>
      </c>
    </row>
    <row r="25" spans="1:50" ht="16">
      <c r="F25" s="239" t="s">
        <v>325</v>
      </c>
      <c r="I25" s="22" t="s">
        <v>65</v>
      </c>
      <c r="K25" s="211">
        <f ca="1">'PUD Reserves'!L73</f>
        <v>51562.499999999993</v>
      </c>
      <c r="L25" s="211">
        <f ca="1">'PUD Reserves'!M73</f>
        <v>136124.99999999997</v>
      </c>
      <c r="M25" s="211">
        <f ca="1">'PUD Reserves'!N73</f>
        <v>196844.99999999997</v>
      </c>
      <c r="N25" s="211">
        <f ca="1">'PUD Reserves'!O73</f>
        <v>248681.39999999997</v>
      </c>
      <c r="O25" s="211">
        <f ca="1">'PUD Reserves'!P73</f>
        <v>294502.55999999994</v>
      </c>
      <c r="P25" s="211">
        <f ca="1">'PUD Reserves'!Q73</f>
        <v>335741.60399999993</v>
      </c>
      <c r="Q25" s="211">
        <f ca="1">'PUD Reserves'!R73</f>
        <v>373052.08643999993</v>
      </c>
      <c r="R25" s="211">
        <f ca="1">'PUD Reserves'!S73</f>
        <v>382225.07494479994</v>
      </c>
      <c r="S25" s="211">
        <f ca="1">'PUD Reserves'!T73</f>
        <v>346253.31289486395</v>
      </c>
      <c r="T25" s="211">
        <f ca="1">'PUD Reserves'!U73</f>
        <v>302737.14604227612</v>
      </c>
      <c r="U25" s="211">
        <f ca="1">'PUD Reserves'!V73</f>
        <v>274195.66659946507</v>
      </c>
      <c r="V25" s="211">
        <f ca="1">'PUD Reserves'!W73</f>
        <v>251755.50805599449</v>
      </c>
      <c r="W25" s="211">
        <f ca="1">'PUD Reserves'!X73</f>
        <v>233312.69089817753</v>
      </c>
      <c r="X25" s="211">
        <f ca="1">'PUD Reserves'!Y73</f>
        <v>217877.63071027695</v>
      </c>
      <c r="Y25" s="211">
        <f ca="1">'PUD Reserves'!Z73</f>
        <v>204930.22470249436</v>
      </c>
      <c r="Z25" s="211">
        <f ca="1">'PUD Reserves'!AA73</f>
        <v>193953.19895264084</v>
      </c>
      <c r="AA25" s="211">
        <f ca="1">'PUD Reserves'!AB73</f>
        <v>184419.99583464101</v>
      </c>
      <c r="AB25" s="211">
        <f ca="1">'PUD Reserves'!AC73</f>
        <v>175894.65779423574</v>
      </c>
      <c r="AC25" s="211">
        <f ca="1">'PUD Reserves'!AD73</f>
        <v>168075.99399167404</v>
      </c>
      <c r="AD25" s="211">
        <f ca="1">'PUD Reserves'!AE73</f>
        <v>160842.11656561733</v>
      </c>
      <c r="AE25" s="211">
        <f ca="1">'PUD Reserves'!AF73</f>
        <v>154156.03206978532</v>
      </c>
      <c r="AF25" s="211">
        <f ca="1">'PUD Reserves'!AG73</f>
        <v>147926.54367590905</v>
      </c>
      <c r="AG25" s="211">
        <f ca="1">'PUD Reserves'!AH73</f>
        <v>142009.48192887267</v>
      </c>
      <c r="AH25" s="211">
        <f ca="1">'PUD Reserves'!AI73</f>
        <v>136329.10265171775</v>
      </c>
      <c r="AI25" s="211">
        <f ca="1">'PUD Reserves'!AJ73</f>
        <v>130875.93854564906</v>
      </c>
      <c r="AJ25" s="211">
        <f ca="1">'PUD Reserves'!AK73</f>
        <v>125640.90100382309</v>
      </c>
      <c r="AK25" s="211">
        <f ca="1">'PUD Reserves'!AL73</f>
        <v>120615.26496367018</v>
      </c>
      <c r="AL25" s="211">
        <f ca="1">'PUD Reserves'!AM73</f>
        <v>114966.13019820231</v>
      </c>
      <c r="AM25" s="211">
        <f ca="1">'PUD Reserves'!AN73</f>
        <v>103197.49373940256</v>
      </c>
      <c r="AN25" s="211">
        <f ca="1">'PUD Reserves'!AO73</f>
        <v>86378.659821925277</v>
      </c>
      <c r="AO25" s="211">
        <f ca="1">'PUD Reserves'!AP73</f>
        <v>70232.579261147068</v>
      </c>
      <c r="AP25" s="211">
        <f ca="1">'PUD Reserves'!AQ73</f>
        <v>54732.341922800006</v>
      </c>
      <c r="AQ25" s="211">
        <f ca="1">'PUD Reserves'!AR73</f>
        <v>39852.114077986829</v>
      </c>
      <c r="AR25" s="211">
        <f ca="1">'PUD Reserves'!AS73</f>
        <v>25567.095346966169</v>
      </c>
      <c r="AS25" s="211">
        <f ca="1">'PUD Reserves'!AT73</f>
        <v>12252.564052171088</v>
      </c>
      <c r="AT25" s="211">
        <f ca="1">'PUD Reserves'!AU73</f>
        <v>2967.3883128155103</v>
      </c>
      <c r="AU25" s="211">
        <f>'PUD Reserves'!AV73</f>
        <v>0</v>
      </c>
    </row>
    <row r="28" spans="1:50">
      <c r="B28" s="37" t="s">
        <v>192</v>
      </c>
      <c r="C28" s="36" t="s">
        <v>254</v>
      </c>
      <c r="D28" s="36"/>
      <c r="E28" s="36"/>
      <c r="F28" s="36"/>
      <c r="G28" s="36"/>
      <c r="H28" s="36"/>
      <c r="I28" s="240" t="s">
        <v>50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</row>
    <row r="30" spans="1:50">
      <c r="F30" s="22" t="s">
        <v>60</v>
      </c>
      <c r="I30" s="22" t="s">
        <v>77</v>
      </c>
      <c r="K30" s="254">
        <f ca="1">'PD Reserves'!L33+'PUD Reserves'!L82</f>
        <v>1975.665029625</v>
      </c>
      <c r="L30" s="254">
        <f ca="1">'PD Reserves'!M33+'PUD Reserves'!M82</f>
        <v>2256.718624092</v>
      </c>
      <c r="M30" s="254">
        <f ca="1">'PD Reserves'!N33+'PUD Reserves'!N82</f>
        <v>2310.5525048399059</v>
      </c>
      <c r="N30" s="254">
        <f ca="1">'PD Reserves'!O33+'PUD Reserves'!O82</f>
        <v>2329.4877798268208</v>
      </c>
      <c r="O30" s="254">
        <f ca="1">'PD Reserves'!P33+'PUD Reserves'!P82</f>
        <v>2361.1113808605651</v>
      </c>
      <c r="P30" s="254">
        <f ca="1">'PD Reserves'!Q33+'PUD Reserves'!Q82</f>
        <v>2377.2299141875374</v>
      </c>
      <c r="Q30" s="254">
        <f ca="1">'PD Reserves'!R33+'PUD Reserves'!R82</f>
        <v>2388.0673249075603</v>
      </c>
      <c r="R30" s="254">
        <f ca="1">'PD Reserves'!S33+'PUD Reserves'!S82</f>
        <v>2339.2634645885014</v>
      </c>
      <c r="S30" s="254">
        <f ca="1">'PD Reserves'!T33+'PUD Reserves'!T82</f>
        <v>2178.1839579354996</v>
      </c>
      <c r="T30" s="254">
        <f ca="1">'PD Reserves'!U33+'PUD Reserves'!U82</f>
        <v>2006.4518658929173</v>
      </c>
      <c r="U30" s="254">
        <f ca="1">'PD Reserves'!V33+'PUD Reserves'!V82</f>
        <v>1873.9916910159495</v>
      </c>
      <c r="V30" s="254">
        <f ca="1">'PD Reserves'!W33+'PUD Reserves'!W82</f>
        <v>1762.527544771139</v>
      </c>
      <c r="W30" s="254">
        <f ca="1">'PD Reserves'!X33+'PUD Reserves'!X82</f>
        <v>1657.3555176885986</v>
      </c>
      <c r="X30" s="254">
        <f ca="1">'PD Reserves'!Y33+'PUD Reserves'!Y82</f>
        <v>1565.4505438250962</v>
      </c>
      <c r="Y30" s="254">
        <f ca="1">'PD Reserves'!Z33+'PUD Reserves'!Z82</f>
        <v>1482.2546917115769</v>
      </c>
      <c r="Z30" s="254">
        <f ca="1">'PD Reserves'!AA33+'PUD Reserves'!AA82</f>
        <v>1408.9696931086835</v>
      </c>
      <c r="AA30" s="254">
        <f ca="1">'PD Reserves'!AB33+'PUD Reserves'!AB82</f>
        <v>1336.4653063971323</v>
      </c>
      <c r="AB30" s="254">
        <f ca="1">'PD Reserves'!AC33+'PUD Reserves'!AC82</f>
        <v>1271.3098901260814</v>
      </c>
      <c r="AC30" s="254">
        <f ca="1">'PD Reserves'!AD33+'PUD Reserves'!AD82</f>
        <v>1210.0845212562197</v>
      </c>
      <c r="AD30" s="254">
        <f ca="1">'PD Reserves'!AE33+'PUD Reserves'!AE82</f>
        <v>1154.4859131849516</v>
      </c>
      <c r="AE30" s="254">
        <f ca="1">'PD Reserves'!AF33+'PUD Reserves'!AF82</f>
        <v>1098.0169857965263</v>
      </c>
      <c r="AF30" s="254">
        <f ca="1">'PD Reserves'!AG33+'PUD Reserves'!AG82</f>
        <v>1046.6603924267472</v>
      </c>
      <c r="AG30" s="254">
        <f ca="1">'PD Reserves'!AH33+'PUD Reserves'!AH82</f>
        <v>997.87391169003968</v>
      </c>
      <c r="AH30" s="254">
        <f ca="1">'PD Reserves'!AI33+'PUD Reserves'!AI82</f>
        <v>953.09595061239133</v>
      </c>
      <c r="AI30" s="254">
        <f ca="1">'PD Reserves'!AJ33+'PUD Reserves'!AJ82</f>
        <v>907.0841389991183</v>
      </c>
      <c r="AJ30" s="254">
        <f ca="1">'PD Reserves'!AK33+'PUD Reserves'!AK82</f>
        <v>864.86768267579419</v>
      </c>
      <c r="AK30" s="254">
        <f ca="1">'PD Reserves'!AL33+'PUD Reserves'!AL82</f>
        <v>824.6365391435711</v>
      </c>
      <c r="AL30" s="254">
        <f ca="1">'PD Reserves'!AM33+'PUD Reserves'!AM82</f>
        <v>785.71333323897306</v>
      </c>
      <c r="AM30" s="254">
        <f ca="1">'PD Reserves'!AN33+'PUD Reserves'!AN82</f>
        <v>636.50563977191507</v>
      </c>
      <c r="AN30" s="254">
        <f ca="1">'PD Reserves'!AO33+'PUD Reserves'!AO82</f>
        <v>207.09283692306587</v>
      </c>
      <c r="AO30" s="254">
        <f ca="1">'PD Reserves'!AP33+'PUD Reserves'!AP82</f>
        <v>168.38260877860012</v>
      </c>
      <c r="AP30" s="254">
        <f ca="1">'PD Reserves'!AQ33+'PUD Reserves'!AQ82</f>
        <v>131.22078975991303</v>
      </c>
      <c r="AQ30" s="254">
        <f ca="1">'PD Reserves'!AR33+'PUD Reserves'!AR82</f>
        <v>95.545443501973438</v>
      </c>
      <c r="AR30" s="254">
        <f ca="1">'PD Reserves'!AS33+'PUD Reserves'!AS82</f>
        <v>61.297111094351401</v>
      </c>
      <c r="AS30" s="254">
        <f ca="1">'PD Reserves'!AT33+'PUD Reserves'!AT82</f>
        <v>29.375522315080183</v>
      </c>
      <c r="AT30" s="254">
        <f ca="1">'PD Reserves'!AU33+'PUD Reserves'!AU82</f>
        <v>7.1143134799751859</v>
      </c>
      <c r="AU30" s="254">
        <f>'PD Reserves'!AV33+'PUD Reserves'!AV82</f>
        <v>0</v>
      </c>
    </row>
    <row r="31" spans="1:50">
      <c r="F31" s="216" t="s">
        <v>317</v>
      </c>
      <c r="I31" s="22" t="s">
        <v>77</v>
      </c>
      <c r="K31" s="254">
        <f ca="1">'PD Reserves'!L37+'PUD Reserves'!L86</f>
        <v>1427.100757824322</v>
      </c>
      <c r="L31" s="254">
        <f ca="1">'PD Reserves'!M37+'PUD Reserves'!M86</f>
        <v>1414.1509117988621</v>
      </c>
      <c r="M31" s="254">
        <f ca="1">'PD Reserves'!N37+'PUD Reserves'!N86</f>
        <v>1466.9404053918588</v>
      </c>
      <c r="N31" s="254">
        <f ca="1">'PD Reserves'!O37+'PUD Reserves'!O86</f>
        <v>1428.6847429356715</v>
      </c>
      <c r="O31" s="254">
        <f ca="1">'PD Reserves'!P37+'PUD Reserves'!P86</f>
        <v>1395.2025755632867</v>
      </c>
      <c r="P31" s="254">
        <f ca="1">'PD Reserves'!Q37+'PUD Reserves'!Q86</f>
        <v>1386.375730716632</v>
      </c>
      <c r="Q31" s="254">
        <f ca="1">'PD Reserves'!R37+'PUD Reserves'!R86</f>
        <v>1375.957880736169</v>
      </c>
      <c r="R31" s="254">
        <f ca="1">'PD Reserves'!S37+'PUD Reserves'!S86</f>
        <v>1339.9803308304874</v>
      </c>
      <c r="S31" s="254">
        <f ca="1">'PD Reserves'!T37+'PUD Reserves'!T86</f>
        <v>1252.225859466464</v>
      </c>
      <c r="T31" s="254">
        <f ca="1">'PD Reserves'!U37+'PUD Reserves'!U86</f>
        <v>1161.0844315507845</v>
      </c>
      <c r="U31" s="254">
        <f ca="1">'PD Reserves'!V37+'PUD Reserves'!V86</f>
        <v>1088.4353787141727</v>
      </c>
      <c r="V31" s="254">
        <f ca="1">'PD Reserves'!W37+'PUD Reserves'!W86</f>
        <v>1026.5639437670206</v>
      </c>
      <c r="W31" s="254">
        <f ca="1">'PD Reserves'!X37+'PUD Reserves'!X86</f>
        <v>966.9077369851442</v>
      </c>
      <c r="X31" s="254">
        <f ca="1">'PD Reserves'!Y37+'PUD Reserves'!Y86</f>
        <v>914.45823361356759</v>
      </c>
      <c r="Y31" s="254">
        <f ca="1">'PD Reserves'!Z37+'PUD Reserves'!Z86</f>
        <v>866.49946307431333</v>
      </c>
      <c r="Z31" s="254">
        <f ca="1">'PD Reserves'!AA37+'PUD Reserves'!AA86</f>
        <v>824.05364554765617</v>
      </c>
      <c r="AA31" s="254">
        <f ca="1">'PD Reserves'!AB37+'PUD Reserves'!AB86</f>
        <v>781.4392158201083</v>
      </c>
      <c r="AB31" s="254">
        <f ca="1">'PD Reserves'!AC37+'PUD Reserves'!AC86</f>
        <v>743.12468524738404</v>
      </c>
      <c r="AC31" s="254">
        <f ca="1">'PD Reserves'!AD37+'PUD Reserves'!AD86</f>
        <v>707.03118617252176</v>
      </c>
      <c r="AD31" s="254">
        <f ca="1">'PD Reserves'!AE37+'PUD Reserves'!AE86</f>
        <v>674.31734541857031</v>
      </c>
      <c r="AE31" s="254">
        <f ca="1">'PD Reserves'!AF37+'PUD Reserves'!AF86</f>
        <v>640.78218001699202</v>
      </c>
      <c r="AF31" s="254">
        <f ca="1">'PD Reserves'!AG37+'PUD Reserves'!AG86</f>
        <v>610.35264505828241</v>
      </c>
      <c r="AG31" s="254">
        <f ca="1">'PD Reserves'!AH37+'PUD Reserves'!AH86</f>
        <v>581.44562362380577</v>
      </c>
      <c r="AH31" s="254">
        <f ca="1">'PD Reserves'!AI37+'PUD Reserves'!AI86</f>
        <v>555.03044837845573</v>
      </c>
      <c r="AI31" s="254">
        <f ca="1">'PD Reserves'!AJ37+'PUD Reserves'!AJ86</f>
        <v>527.7078913171722</v>
      </c>
      <c r="AJ31" s="254">
        <f ca="1">'PD Reserves'!AK37+'PUD Reserves'!AK86</f>
        <v>502.74746212437492</v>
      </c>
      <c r="AK31" s="254">
        <f ca="1">'PD Reserves'!AL37+'PUD Reserves'!AL86</f>
        <v>478.97805577629504</v>
      </c>
      <c r="AL31" s="254">
        <f ca="1">'PD Reserves'!AM37+'PUD Reserves'!AM86</f>
        <v>456.34951754210721</v>
      </c>
      <c r="AM31" s="254">
        <f ca="1">'PD Reserves'!AN37+'PUD Reserves'!AN86</f>
        <v>364.980516470559</v>
      </c>
      <c r="AN31" s="254">
        <f ca="1">'PD Reserves'!AO37+'PUD Reserves'!AO86</f>
        <v>94.048302984857301</v>
      </c>
      <c r="AO31" s="254">
        <f ca="1">'PD Reserves'!AP37+'PUD Reserves'!AP86</f>
        <v>76.468596611448817</v>
      </c>
      <c r="AP31" s="254">
        <f ca="1">'PD Reserves'!AQ37+'PUD Reserves'!AQ86</f>
        <v>59.592078492976682</v>
      </c>
      <c r="AQ31" s="254">
        <f ca="1">'PD Reserves'!AR37+'PUD Reserves'!AR86</f>
        <v>43.39062109924344</v>
      </c>
      <c r="AR31" s="254">
        <f ca="1">'PD Reserves'!AS37+'PUD Reserves'!AS86</f>
        <v>27.837222001259512</v>
      </c>
      <c r="AS31" s="254">
        <f ca="1">'PD Reserves'!AT37+'PUD Reserves'!AT86</f>
        <v>13.340480839776397</v>
      </c>
      <c r="AT31" s="254">
        <f ca="1">'PD Reserves'!AU37+'PUD Reserves'!AU86</f>
        <v>3.2308655366120878</v>
      </c>
      <c r="AU31" s="254">
        <f>'PD Reserves'!AV37+'PUD Reserves'!AV86</f>
        <v>0</v>
      </c>
    </row>
    <row r="32" spans="1:50" s="28" customFormat="1">
      <c r="A32" s="22"/>
      <c r="F32" s="237" t="s">
        <v>62</v>
      </c>
      <c r="I32" s="28" t="s">
        <v>77</v>
      </c>
      <c r="K32" s="255">
        <f ca="1">'PD Reserves'!L41+'PUD Reserves'!L90</f>
        <v>145.827279001188</v>
      </c>
      <c r="L32" s="255">
        <f ca="1">'PD Reserves'!M41+'PUD Reserves'!M90</f>
        <v>141.94692515387223</v>
      </c>
      <c r="M32" s="255">
        <f ca="1">'PD Reserves'!N41+'PUD Reserves'!N90</f>
        <v>156.14511121578647</v>
      </c>
      <c r="N32" s="255">
        <f ca="1">'PD Reserves'!O41+'PUD Reserves'!O90</f>
        <v>166.61032029039939</v>
      </c>
      <c r="O32" s="255">
        <f ca="1">'PD Reserves'!P41+'PUD Reserves'!P90</f>
        <v>171.09059879886291</v>
      </c>
      <c r="P32" s="255">
        <f ca="1">'PD Reserves'!Q41+'PUD Reserves'!Q90</f>
        <v>172.43969319181485</v>
      </c>
      <c r="Q32" s="255">
        <f ca="1">'PD Reserves'!R41+'PUD Reserves'!R90</f>
        <v>173.3910108534273</v>
      </c>
      <c r="R32" s="255">
        <f ca="1">'PD Reserves'!S41+'PUD Reserves'!S90</f>
        <v>169.92504636181448</v>
      </c>
      <c r="S32" s="255">
        <f ca="1">'PD Reserves'!T41+'PUD Reserves'!T90</f>
        <v>158.17960278357259</v>
      </c>
      <c r="T32" s="255">
        <f ca="1">'PD Reserves'!U41+'PUD Reserves'!U90</f>
        <v>145.63355534052934</v>
      </c>
      <c r="U32" s="255">
        <f ca="1">'PD Reserves'!V41+'PUD Reserves'!V90</f>
        <v>135.9797466679322</v>
      </c>
      <c r="V32" s="255">
        <f ca="1">'PD Reserves'!W41+'PUD Reserves'!W90</f>
        <v>127.86342825764572</v>
      </c>
      <c r="W32" s="255">
        <f ca="1">'PD Reserves'!X41+'PUD Reserves'!X90</f>
        <v>120.21788065030805</v>
      </c>
      <c r="X32" s="255">
        <f ca="1">'PD Reserves'!Y41+'PUD Reserves'!Y90</f>
        <v>113.53993528504049</v>
      </c>
      <c r="Y32" s="255">
        <f ca="1">'PD Reserves'!Z41+'PUD Reserves'!Z90</f>
        <v>107.49953932796635</v>
      </c>
      <c r="Z32" s="255">
        <f ca="1">'PD Reserves'!AA41+'PUD Reserves'!AA90</f>
        <v>102.18069228582279</v>
      </c>
      <c r="AA32" s="255">
        <f ca="1">'PD Reserves'!AB41+'PUD Reserves'!AB90</f>
        <v>96.924626333404518</v>
      </c>
      <c r="AB32" s="255">
        <f ca="1">'PD Reserves'!AC41+'PUD Reserves'!AC90</f>
        <v>92.201501861733334</v>
      </c>
      <c r="AC32" s="255">
        <f ca="1">'PD Reserves'!AD41+'PUD Reserves'!AD90</f>
        <v>87.764155520214473</v>
      </c>
      <c r="AD32" s="255">
        <f ca="1">'PD Reserves'!AE41+'PUD Reserves'!AE90</f>
        <v>83.733994540299364</v>
      </c>
      <c r="AE32" s="255">
        <f ca="1">'PD Reserves'!AF41+'PUD Reserves'!AF90</f>
        <v>79.643798879639064</v>
      </c>
      <c r="AF32" s="255">
        <f ca="1">'PD Reserves'!AG41+'PUD Reserves'!AG90</f>
        <v>75.923216642001137</v>
      </c>
      <c r="AG32" s="255">
        <f ca="1">'PD Reserves'!AH41+'PUD Reserves'!AH90</f>
        <v>72.388832025839704</v>
      </c>
      <c r="AH32" s="255">
        <f ca="1">'PD Reserves'!AI41+'PUD Reserves'!AI90</f>
        <v>69.143696686454106</v>
      </c>
      <c r="AI32" s="255">
        <f ca="1">'PD Reserves'!AJ41+'PUD Reserves'!AJ90</f>
        <v>65.810913772865376</v>
      </c>
      <c r="AJ32" s="255">
        <f ca="1">'PD Reserves'!AK41+'PUD Reserves'!AK90</f>
        <v>62.75197092640677</v>
      </c>
      <c r="AK32" s="255">
        <f ca="1">'PD Reserves'!AL41+'PUD Reserves'!AL90</f>
        <v>59.836711108583707</v>
      </c>
      <c r="AL32" s="255">
        <f ca="1">'PD Reserves'!AM41+'PUD Reserves'!AM90</f>
        <v>57.012595083984813</v>
      </c>
      <c r="AM32" s="255">
        <f ca="1">'PD Reserves'!AN41+'PUD Reserves'!AN90</f>
        <v>46.232312698756473</v>
      </c>
      <c r="AN32" s="255">
        <f ca="1">'PD Reserves'!AO41+'PUD Reserves'!AO90</f>
        <v>15.285883212125114</v>
      </c>
      <c r="AO32" s="255">
        <f ca="1">'PD Reserves'!AP41+'PUD Reserves'!AP90</f>
        <v>12.428613809075486</v>
      </c>
      <c r="AP32" s="255">
        <f ca="1">'PD Reserves'!AQ41+'PUD Reserves'!AQ90</f>
        <v>9.6856351821478466</v>
      </c>
      <c r="AQ32" s="255">
        <f ca="1">'PD Reserves'!AR41+'PUD Reserves'!AR90</f>
        <v>7.0523757002973149</v>
      </c>
      <c r="AR32" s="255">
        <f ca="1">'PD Reserves'!AS41+'PUD Reserves'!AS90</f>
        <v>4.5244465977208019</v>
      </c>
      <c r="AS32" s="255">
        <f ca="1">'PD Reserves'!AT41+'PUD Reserves'!AT90</f>
        <v>2.1682584973728671</v>
      </c>
      <c r="AT32" s="255">
        <f ca="1">'PD Reserves'!AU41+'PUD Reserves'!AU90</f>
        <v>0.52511987669446902</v>
      </c>
      <c r="AU32" s="255">
        <f>'PD Reserves'!AV41+'PUD Reserves'!AV90</f>
        <v>0</v>
      </c>
    </row>
    <row r="33" spans="1:47">
      <c r="F33" s="22" t="s">
        <v>254</v>
      </c>
      <c r="I33" s="231" t="s">
        <v>77</v>
      </c>
      <c r="K33" s="221">
        <f ca="1">SUM(K30:K32)</f>
        <v>3548.5930664505099</v>
      </c>
      <c r="L33" s="221">
        <f t="shared" ref="L33:AU33" ca="1" si="1">SUM(L30:L32)</f>
        <v>3812.8164610447343</v>
      </c>
      <c r="M33" s="221">
        <f t="shared" ca="1" si="1"/>
        <v>3933.6380214475512</v>
      </c>
      <c r="N33" s="221">
        <f t="shared" ca="1" si="1"/>
        <v>3924.7828430528916</v>
      </c>
      <c r="O33" s="221">
        <f t="shared" ca="1" si="1"/>
        <v>3927.4045552227149</v>
      </c>
      <c r="P33" s="221">
        <f t="shared" ca="1" si="1"/>
        <v>3936.0453380959843</v>
      </c>
      <c r="Q33" s="221">
        <f t="shared" ca="1" si="1"/>
        <v>3937.4162164971567</v>
      </c>
      <c r="R33" s="221">
        <f t="shared" ca="1" si="1"/>
        <v>3849.1688417808036</v>
      </c>
      <c r="S33" s="221">
        <f t="shared" ca="1" si="1"/>
        <v>3588.5894201855363</v>
      </c>
      <c r="T33" s="221">
        <f t="shared" ca="1" si="1"/>
        <v>3313.1698527842314</v>
      </c>
      <c r="U33" s="221">
        <f t="shared" ca="1" si="1"/>
        <v>3098.4068163980546</v>
      </c>
      <c r="V33" s="221">
        <f t="shared" ca="1" si="1"/>
        <v>2916.9549167958057</v>
      </c>
      <c r="W33" s="221">
        <f t="shared" ca="1" si="1"/>
        <v>2744.4811353240507</v>
      </c>
      <c r="X33" s="221">
        <f t="shared" ca="1" si="1"/>
        <v>2593.4487127237044</v>
      </c>
      <c r="Y33" s="221">
        <f t="shared" ca="1" si="1"/>
        <v>2456.2536941138565</v>
      </c>
      <c r="Z33" s="221">
        <f t="shared" ca="1" si="1"/>
        <v>2335.2040309421623</v>
      </c>
      <c r="AA33" s="221">
        <f t="shared" ca="1" si="1"/>
        <v>2214.8291485506452</v>
      </c>
      <c r="AB33" s="221">
        <f t="shared" ca="1" si="1"/>
        <v>2106.6360772351991</v>
      </c>
      <c r="AC33" s="221">
        <f t="shared" ca="1" si="1"/>
        <v>2004.8798629489559</v>
      </c>
      <c r="AD33" s="221">
        <f t="shared" ca="1" si="1"/>
        <v>1912.5372531438213</v>
      </c>
      <c r="AE33" s="221">
        <f t="shared" ca="1" si="1"/>
        <v>1818.4429646931574</v>
      </c>
      <c r="AF33" s="221">
        <f t="shared" ca="1" si="1"/>
        <v>1732.9362541270307</v>
      </c>
      <c r="AG33" s="221">
        <f t="shared" ca="1" si="1"/>
        <v>1651.7083673396851</v>
      </c>
      <c r="AH33" s="221">
        <f t="shared" ca="1" si="1"/>
        <v>1577.2700956773012</v>
      </c>
      <c r="AI33" s="221">
        <f t="shared" ca="1" si="1"/>
        <v>1500.6029440891559</v>
      </c>
      <c r="AJ33" s="221">
        <f t="shared" ca="1" si="1"/>
        <v>1430.367115726576</v>
      </c>
      <c r="AK33" s="221">
        <f t="shared" ca="1" si="1"/>
        <v>1363.4513060284501</v>
      </c>
      <c r="AL33" s="221">
        <f t="shared" ca="1" si="1"/>
        <v>1299.0754458650649</v>
      </c>
      <c r="AM33" s="221">
        <f t="shared" ca="1" si="1"/>
        <v>1047.7184689412306</v>
      </c>
      <c r="AN33" s="221">
        <f t="shared" ca="1" si="1"/>
        <v>316.42702312004826</v>
      </c>
      <c r="AO33" s="221">
        <f t="shared" ca="1" si="1"/>
        <v>257.2798191991244</v>
      </c>
      <c r="AP33" s="221">
        <f t="shared" ca="1" si="1"/>
        <v>200.49850343503755</v>
      </c>
      <c r="AQ33" s="221">
        <f t="shared" ca="1" si="1"/>
        <v>145.9884403015142</v>
      </c>
      <c r="AR33" s="221">
        <f t="shared" ca="1" si="1"/>
        <v>93.658779693331709</v>
      </c>
      <c r="AS33" s="221">
        <f t="shared" ca="1" si="1"/>
        <v>44.884261652229448</v>
      </c>
      <c r="AT33" s="221">
        <f t="shared" ca="1" si="1"/>
        <v>10.870298893281742</v>
      </c>
      <c r="AU33" s="221">
        <f t="shared" si="1"/>
        <v>0</v>
      </c>
    </row>
    <row r="35" spans="1:47">
      <c r="B35" s="37" t="s">
        <v>192</v>
      </c>
      <c r="C35" s="36" t="s">
        <v>259</v>
      </c>
      <c r="D35" s="36"/>
      <c r="E35" s="36"/>
      <c r="F35" s="36"/>
      <c r="G35" s="36"/>
      <c r="H35" s="36"/>
      <c r="I35" s="240" t="s">
        <v>50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7" spans="1:47">
      <c r="F37" s="22" t="s">
        <v>260</v>
      </c>
      <c r="I37" s="244" t="s">
        <v>77</v>
      </c>
      <c r="K37" s="211">
        <f ca="1">'PD Reserves'!L50+'PUD Reserves'!L99</f>
        <v>32.962085999999992</v>
      </c>
      <c r="L37" s="211">
        <f ca="1">'PD Reserves'!M50+'PUD Reserves'!M99</f>
        <v>34.799606699999998</v>
      </c>
      <c r="M37" s="211">
        <f ca="1">'PD Reserves'!N50+'PUD Reserves'!N99</f>
        <v>35.760676364999995</v>
      </c>
      <c r="N37" s="211">
        <f ca="1">'PD Reserves'!O50+'PUD Reserves'!O99</f>
        <v>36.512370827699996</v>
      </c>
      <c r="O37" s="211">
        <f ca="1">'PD Reserves'!P50+'PUD Reserves'!P99</f>
        <v>36.948008319412494</v>
      </c>
      <c r="P37" s="211">
        <f ca="1">'PD Reserves'!Q50+'PUD Reserves'!Q99</f>
        <v>37.339174783441869</v>
      </c>
      <c r="Q37" s="211">
        <f ca="1">'PD Reserves'!R50+'PUD Reserves'!R99</f>
        <v>37.636118549869771</v>
      </c>
      <c r="R37" s="211">
        <f ca="1">'PD Reserves'!S50+'PUD Reserves'!S99</f>
        <v>36.926455056921313</v>
      </c>
      <c r="S37" s="211">
        <f ca="1">'PD Reserves'!T50+'PUD Reserves'!T99</f>
        <v>34.349549186568026</v>
      </c>
      <c r="T37" s="211">
        <f ca="1">'PD Reserves'!U50+'PUD Reserves'!U99</f>
        <v>31.583931678925836</v>
      </c>
      <c r="U37" s="211">
        <f ca="1">'PD Reserves'!V50+'PUD Reserves'!V99</f>
        <v>29.468550209351655</v>
      </c>
      <c r="V37" s="211">
        <f ca="1">'PD Reserves'!W50+'PUD Reserves'!W99</f>
        <v>27.694060258475972</v>
      </c>
      <c r="W37" s="211">
        <f ca="1">'PD Reserves'!X50+'PUD Reserves'!X99</f>
        <v>26.029410635626277</v>
      </c>
      <c r="X37" s="211">
        <f ca="1">'PD Reserves'!Y50+'PUD Reserves'!Y99</f>
        <v>24.577163078125299</v>
      </c>
      <c r="Y37" s="211">
        <f ca="1">'PD Reserves'!Z50+'PUD Reserves'!Z99</f>
        <v>23.266163945328287</v>
      </c>
      <c r="Z37" s="211">
        <f ca="1">'PD Reserves'!AA50+'PUD Reserves'!AA99</f>
        <v>22.11285573516961</v>
      </c>
      <c r="AA37" s="211">
        <f ca="1">'PD Reserves'!AB50+'PUD Reserves'!AB99</f>
        <v>20.976531682284367</v>
      </c>
      <c r="AB37" s="211">
        <f ca="1">'PD Reserves'!AC50+'PUD Reserves'!AC99</f>
        <v>19.955531568223222</v>
      </c>
      <c r="AC37" s="211">
        <f ca="1">'PD Reserves'!AD50+'PUD Reserves'!AD99</f>
        <v>18.996797753298061</v>
      </c>
      <c r="AD37" s="211">
        <f ca="1">'PD Reserves'!AE50+'PUD Reserves'!AE99</f>
        <v>18.125700154091909</v>
      </c>
      <c r="AE37" s="211">
        <f ca="1">'PD Reserves'!AF50+'PUD Reserves'!AF99</f>
        <v>17.243307872043481</v>
      </c>
      <c r="AF37" s="211">
        <f ca="1">'PD Reserves'!AG50+'PUD Reserves'!AG99</f>
        <v>16.440275006825829</v>
      </c>
      <c r="AG37" s="211">
        <f ca="1">'PD Reserves'!AH50+'PUD Reserves'!AH99</f>
        <v>15.677431873954896</v>
      </c>
      <c r="AH37" s="211">
        <f ca="1">'PD Reserves'!AI50+'PUD Reserves'!AI99</f>
        <v>14.976383798965575</v>
      </c>
      <c r="AI37" s="211">
        <f ca="1">'PD Reserves'!AJ50+'PUD Reserves'!AJ99</f>
        <v>14.257377510437951</v>
      </c>
      <c r="AJ37" s="211">
        <f ca="1">'PD Reserves'!AK50+'PUD Reserves'!AK99</f>
        <v>13.596859010334313</v>
      </c>
      <c r="AK37" s="211">
        <f ca="1">'PD Reserves'!AL50+'PUD Reserves'!AL99</f>
        <v>12.967272420219128</v>
      </c>
      <c r="AL37" s="211">
        <f ca="1">'PD Reserves'!AM50+'PUD Reserves'!AM99</f>
        <v>12.35536716791567</v>
      </c>
      <c r="AM37" s="211">
        <f ca="1">'PD Reserves'!AN50+'PUD Reserves'!AN99</f>
        <v>10.044713139656658</v>
      </c>
      <c r="AN37" s="211">
        <f ca="1">'PD Reserves'!AO50+'PUD Reserves'!AO99</f>
        <v>3.4551463928770114</v>
      </c>
      <c r="AO37" s="211">
        <f ca="1">'PD Reserves'!AP50+'PUD Reserves'!AP99</f>
        <v>2.8093031704458826</v>
      </c>
      <c r="AP37" s="211">
        <f ca="1">'PD Reserves'!AQ50+'PUD Reserves'!AQ99</f>
        <v>2.1892936769119999</v>
      </c>
      <c r="AQ37" s="211">
        <f ca="1">'PD Reserves'!AR50+'PUD Reserves'!AR99</f>
        <v>1.5940845631194731</v>
      </c>
      <c r="AR37" s="211">
        <f ca="1">'PD Reserves'!AS50+'PUD Reserves'!AS99</f>
        <v>1.0226838138786467</v>
      </c>
      <c r="AS37" s="211">
        <f ca="1">'PD Reserves'!AT50+'PUD Reserves'!AT99</f>
        <v>0.49010256208684355</v>
      </c>
      <c r="AT37" s="211">
        <f ca="1">'PD Reserves'!AU50+'PUD Reserves'!AU99</f>
        <v>0.11869553251262041</v>
      </c>
      <c r="AU37" s="211">
        <f>'PD Reserves'!AV50+'PUD Reserves'!AV99</f>
        <v>0</v>
      </c>
    </row>
    <row r="38" spans="1:47">
      <c r="F38" s="22" t="s">
        <v>326</v>
      </c>
      <c r="I38" s="244" t="s">
        <v>77</v>
      </c>
      <c r="K38" s="211">
        <f ca="1">'PD Reserves'!L56+'PUD Reserves'!L105</f>
        <v>115.367301</v>
      </c>
      <c r="L38" s="211">
        <f ca="1">'PD Reserves'!M56+'PUD Reserves'!M105</f>
        <v>121.79862345000001</v>
      </c>
      <c r="M38" s="211">
        <f ca="1">'PD Reserves'!N56+'PUD Reserves'!N105</f>
        <v>125.1623672775</v>
      </c>
      <c r="N38" s="211">
        <f ca="1">'PD Reserves'!O56+'PUD Reserves'!O105</f>
        <v>127.79329789695001</v>
      </c>
      <c r="O38" s="211">
        <f ca="1">'PD Reserves'!P56+'PUD Reserves'!P105</f>
        <v>129.31802911794372</v>
      </c>
      <c r="P38" s="211">
        <f ca="1">'PD Reserves'!Q56+'PUD Reserves'!Q105</f>
        <v>130.68711174204654</v>
      </c>
      <c r="Q38" s="211">
        <f ca="1">'PD Reserves'!R56+'PUD Reserves'!R105</f>
        <v>131.7264149245442</v>
      </c>
      <c r="R38" s="211">
        <f ca="1">'PD Reserves'!S56+'PUD Reserves'!S105</f>
        <v>129.24259269922459</v>
      </c>
      <c r="S38" s="211">
        <f ca="1">'PD Reserves'!T56+'PUD Reserves'!T105</f>
        <v>120.22342215298809</v>
      </c>
      <c r="T38" s="211">
        <f ca="1">'PD Reserves'!U56+'PUD Reserves'!U105</f>
        <v>110.54376087624044</v>
      </c>
      <c r="U38" s="211">
        <f ca="1">'PD Reserves'!V56+'PUD Reserves'!V105</f>
        <v>103.1399257327308</v>
      </c>
      <c r="V38" s="211">
        <f ca="1">'PD Reserves'!W56+'PUD Reserves'!W105</f>
        <v>96.929210904665922</v>
      </c>
      <c r="W38" s="211">
        <f ca="1">'PD Reserves'!X56+'PUD Reserves'!X105</f>
        <v>91.102937224691999</v>
      </c>
      <c r="X38" s="211">
        <f ca="1">'PD Reserves'!Y56+'PUD Reserves'!Y105</f>
        <v>86.020070773438562</v>
      </c>
      <c r="Y38" s="211">
        <f ca="1">'PD Reserves'!Z56+'PUD Reserves'!Z105</f>
        <v>81.431573808648992</v>
      </c>
      <c r="Z38" s="211">
        <f ca="1">'PD Reserves'!AA56+'PUD Reserves'!AA105</f>
        <v>77.394995073093639</v>
      </c>
      <c r="AA38" s="211">
        <f ca="1">'PD Reserves'!AB56+'PUD Reserves'!AB105</f>
        <v>73.417860887995289</v>
      </c>
      <c r="AB38" s="211">
        <f ca="1">'PD Reserves'!AC56+'PUD Reserves'!AC105</f>
        <v>69.844360488781277</v>
      </c>
      <c r="AC38" s="211">
        <f ca="1">'PD Reserves'!AD56+'PUD Reserves'!AD105</f>
        <v>66.488792136543225</v>
      </c>
      <c r="AD38" s="211">
        <f ca="1">'PD Reserves'!AE56+'PUD Reserves'!AE105</f>
        <v>63.439950539321678</v>
      </c>
      <c r="AE38" s="211">
        <f ca="1">'PD Reserves'!AF56+'PUD Reserves'!AF105</f>
        <v>60.351577552152193</v>
      </c>
      <c r="AF38" s="211">
        <f ca="1">'PD Reserves'!AG56+'PUD Reserves'!AG105</f>
        <v>57.5409625238904</v>
      </c>
      <c r="AG38" s="211">
        <f ca="1">'PD Reserves'!AH56+'PUD Reserves'!AH105</f>
        <v>54.871011558842142</v>
      </c>
      <c r="AH38" s="211">
        <f ca="1">'PD Reserves'!AI56+'PUD Reserves'!AI105</f>
        <v>52.417343296379528</v>
      </c>
      <c r="AI38" s="211">
        <f ca="1">'PD Reserves'!AJ56+'PUD Reserves'!AJ105</f>
        <v>49.900821286532839</v>
      </c>
      <c r="AJ38" s="211">
        <f ca="1">'PD Reserves'!AK56+'PUD Reserves'!AK105</f>
        <v>47.589006536170103</v>
      </c>
      <c r="AK38" s="211">
        <f ca="1">'PD Reserves'!AL56+'PUD Reserves'!AL105</f>
        <v>45.385453470766947</v>
      </c>
      <c r="AL38" s="211">
        <f ca="1">'PD Reserves'!AM56+'PUD Reserves'!AM105</f>
        <v>43.24378508770485</v>
      </c>
      <c r="AM38" s="211">
        <f ca="1">'PD Reserves'!AN56+'PUD Reserves'!AN105</f>
        <v>35.156495988798312</v>
      </c>
      <c r="AN38" s="211">
        <f ca="1">'PD Reserves'!AO56+'PUD Reserves'!AO105</f>
        <v>12.09301237506954</v>
      </c>
      <c r="AO38" s="211">
        <f ca="1">'PD Reserves'!AP56+'PUD Reserves'!AP105</f>
        <v>9.8325610965605907</v>
      </c>
      <c r="AP38" s="211">
        <f ca="1">'PD Reserves'!AQ56+'PUD Reserves'!AQ105</f>
        <v>7.6625278691920009</v>
      </c>
      <c r="AQ38" s="211">
        <f ca="1">'PD Reserves'!AR56+'PUD Reserves'!AR105</f>
        <v>5.5792959709181567</v>
      </c>
      <c r="AR38" s="211">
        <f ca="1">'PD Reserves'!AS56+'PUD Reserves'!AS105</f>
        <v>3.5793933485752643</v>
      </c>
      <c r="AS38" s="211">
        <f ca="1">'PD Reserves'!AT56+'PUD Reserves'!AT105</f>
        <v>1.7153589673039527</v>
      </c>
      <c r="AT38" s="211">
        <f ca="1">'PD Reserves'!AU56+'PUD Reserves'!AU105</f>
        <v>0.41543436379417148</v>
      </c>
      <c r="AU38" s="211">
        <f>'PD Reserves'!AV56+'PUD Reserves'!AV105</f>
        <v>0</v>
      </c>
    </row>
    <row r="39" spans="1:47">
      <c r="F39" s="22" t="s">
        <v>327</v>
      </c>
      <c r="I39" s="244" t="s">
        <v>77</v>
      </c>
      <c r="K39" s="211">
        <f ca="1">'PD Reserves'!L62+'PUD Reserves'!L111</f>
        <v>1353.0936302999999</v>
      </c>
      <c r="L39" s="211">
        <f ca="1">'PD Reserves'!M62+'PUD Reserves'!M111</f>
        <v>1428.523855035</v>
      </c>
      <c r="M39" s="211">
        <f ca="1">'PD Reserves'!N62+'PUD Reserves'!N111</f>
        <v>1467.9757647832496</v>
      </c>
      <c r="N39" s="211">
        <f ca="1">'PD Reserves'!O62+'PUD Reserves'!O111</f>
        <v>1498.8328224770846</v>
      </c>
      <c r="O39" s="211">
        <f ca="1">'PD Reserves'!P62+'PUD Reserves'!P111</f>
        <v>1516.7157415118825</v>
      </c>
      <c r="P39" s="211">
        <f ca="1">'PD Reserves'!Q62+'PUD Reserves'!Q111</f>
        <v>1532.7731248602886</v>
      </c>
      <c r="Q39" s="211">
        <f ca="1">'PD Reserves'!R62+'PUD Reserves'!R111</f>
        <v>1544.9626664721541</v>
      </c>
      <c r="R39" s="211">
        <f ca="1">'PD Reserves'!S62+'PUD Reserves'!S111</f>
        <v>1515.8309800866198</v>
      </c>
      <c r="S39" s="211">
        <f ca="1">'PD Reserves'!T62+'PUD Reserves'!T111</f>
        <v>1410.0489941086173</v>
      </c>
      <c r="T39" s="211">
        <f ca="1">'PD Reserves'!U62+'PUD Reserves'!U111</f>
        <v>1296.5203954199055</v>
      </c>
      <c r="U39" s="211">
        <f ca="1">'PD Reserves'!V62+'PUD Reserves'!V111</f>
        <v>1209.6839860938853</v>
      </c>
      <c r="V39" s="211">
        <f ca="1">'PD Reserves'!W62+'PUD Reserves'!W111</f>
        <v>1136.8411736104385</v>
      </c>
      <c r="W39" s="211">
        <f ca="1">'PD Reserves'!X62+'PUD Reserves'!X111</f>
        <v>1068.5073065924587</v>
      </c>
      <c r="X39" s="211">
        <f ca="1">'PD Reserves'!Y62+'PUD Reserves'!Y111</f>
        <v>1008.8925443570436</v>
      </c>
      <c r="Y39" s="211">
        <f ca="1">'PD Reserves'!Z62+'PUD Reserves'!Z111</f>
        <v>955.07602995572597</v>
      </c>
      <c r="Z39" s="211">
        <f ca="1">'PD Reserves'!AA62+'PUD Reserves'!AA111</f>
        <v>907.73272792871251</v>
      </c>
      <c r="AA39" s="211">
        <f ca="1">'PD Reserves'!AB62+'PUD Reserves'!AB111</f>
        <v>861.08662555777323</v>
      </c>
      <c r="AB39" s="211">
        <f ca="1">'PD Reserves'!AC62+'PUD Reserves'!AC111</f>
        <v>819.17457087556318</v>
      </c>
      <c r="AC39" s="211">
        <f ca="1">'PD Reserves'!AD62+'PUD Reserves'!AD111</f>
        <v>779.81854777288538</v>
      </c>
      <c r="AD39" s="211">
        <f ca="1">'PD Reserves'!AE62+'PUD Reserves'!AE111</f>
        <v>744.05999132547277</v>
      </c>
      <c r="AE39" s="211">
        <f ca="1">'PD Reserves'!AF62+'PUD Reserves'!AF111</f>
        <v>707.83778814738491</v>
      </c>
      <c r="AF39" s="211">
        <f ca="1">'PD Reserves'!AG62+'PUD Reserves'!AG111</f>
        <v>674.87328903020011</v>
      </c>
      <c r="AG39" s="211">
        <f ca="1">'PD Reserves'!AH62+'PUD Reserves'!AH111</f>
        <v>643.55857842584851</v>
      </c>
      <c r="AH39" s="211">
        <f ca="1">'PD Reserves'!AI62+'PUD Reserves'!AI111</f>
        <v>614.78055494753687</v>
      </c>
      <c r="AI39" s="211">
        <f ca="1">'PD Reserves'!AJ62+'PUD Reserves'!AJ111</f>
        <v>585.265346803478</v>
      </c>
      <c r="AJ39" s="211">
        <f ca="1">'PD Reserves'!AK62+'PUD Reserves'!AK111</f>
        <v>558.15106237422356</v>
      </c>
      <c r="AK39" s="211">
        <f ca="1">'PD Reserves'!AL62+'PUD Reserves'!AL111</f>
        <v>532.30653284999516</v>
      </c>
      <c r="AL39" s="211">
        <f ca="1">'PD Reserves'!AM62+'PUD Reserves'!AM111</f>
        <v>507.18782224293818</v>
      </c>
      <c r="AM39" s="211">
        <f ca="1">'PD Reserves'!AN62+'PUD Reserves'!AN111</f>
        <v>412.33547438290583</v>
      </c>
      <c r="AN39" s="211">
        <f ca="1">'PD Reserves'!AO62+'PUD Reserves'!AO111</f>
        <v>141.83375942760131</v>
      </c>
      <c r="AO39" s="211">
        <f ca="1">'PD Reserves'!AP62+'PUD Reserves'!AP111</f>
        <v>115.32189514680348</v>
      </c>
      <c r="AP39" s="211">
        <f ca="1">'PD Reserves'!AQ62+'PUD Reserves'!AQ111</f>
        <v>89.870505437237597</v>
      </c>
      <c r="AQ39" s="211">
        <f ca="1">'PD Reserves'!AR62+'PUD Reserves'!AR111</f>
        <v>65.437171316054375</v>
      </c>
      <c r="AR39" s="211">
        <f ca="1">'PD Reserves'!AS62+'PUD Reserves'!AS111</f>
        <v>41.98117055971845</v>
      </c>
      <c r="AS39" s="211">
        <f ca="1">'PD Reserves'!AT62+'PUD Reserves'!AT111</f>
        <v>20.118710173664926</v>
      </c>
      <c r="AT39" s="211">
        <f ca="1">'PD Reserves'!AU62+'PUD Reserves'!AU111</f>
        <v>4.8724516096430683</v>
      </c>
      <c r="AU39" s="211">
        <f>'PD Reserves'!AV62+'PUD Reserves'!AV111</f>
        <v>0</v>
      </c>
    </row>
    <row r="40" spans="1:47" s="28" customFormat="1">
      <c r="A40" s="22"/>
      <c r="F40" s="28" t="s">
        <v>328</v>
      </c>
      <c r="I40" s="245" t="s">
        <v>77</v>
      </c>
      <c r="K40" s="246">
        <f ca="1">K33*'Inputs &amp; Assumptions'!$L$98</f>
        <v>262.59588691733774</v>
      </c>
      <c r="L40" s="246">
        <f ca="1">L33*'Inputs &amp; Assumptions'!$L$98</f>
        <v>282.14841811731031</v>
      </c>
      <c r="M40" s="246">
        <f ca="1">M33*'Inputs &amp; Assumptions'!$L$98</f>
        <v>291.08921358711876</v>
      </c>
      <c r="N40" s="246">
        <f ca="1">N33*'Inputs &amp; Assumptions'!$L$98</f>
        <v>290.43393038591398</v>
      </c>
      <c r="O40" s="246">
        <f ca="1">O33*'Inputs &amp; Assumptions'!$L$98</f>
        <v>290.62793708648087</v>
      </c>
      <c r="P40" s="246">
        <f ca="1">P33*'Inputs &amp; Assumptions'!$L$98</f>
        <v>291.26735501910281</v>
      </c>
      <c r="Q40" s="246">
        <f ca="1">Q33*'Inputs &amp; Assumptions'!$L$98</f>
        <v>291.36880002078959</v>
      </c>
      <c r="R40" s="246">
        <f ca="1">R33*'Inputs &amp; Assumptions'!$L$98</f>
        <v>284.83849429177945</v>
      </c>
      <c r="S40" s="246">
        <f ca="1">S33*'Inputs &amp; Assumptions'!$L$98</f>
        <v>265.55561709372967</v>
      </c>
      <c r="T40" s="246">
        <f ca="1">T33*'Inputs &amp; Assumptions'!$L$98</f>
        <v>245.17456910603312</v>
      </c>
      <c r="U40" s="246">
        <f ca="1">U33*'Inputs &amp; Assumptions'!$L$98</f>
        <v>229.28210441345604</v>
      </c>
      <c r="V40" s="246">
        <f ca="1">V33*'Inputs &amp; Assumptions'!$L$98</f>
        <v>215.85466384288961</v>
      </c>
      <c r="W40" s="246">
        <f ca="1">W33*'Inputs &amp; Assumptions'!$L$98</f>
        <v>203.09160401397975</v>
      </c>
      <c r="X40" s="246">
        <f ca="1">X33*'Inputs &amp; Assumptions'!$L$98</f>
        <v>191.91520474155411</v>
      </c>
      <c r="Y40" s="246">
        <f ca="1">Y33*'Inputs &amp; Assumptions'!$L$98</f>
        <v>181.76277336442536</v>
      </c>
      <c r="Z40" s="246">
        <f ca="1">Z33*'Inputs &amp; Assumptions'!$L$98</f>
        <v>172.80509828972001</v>
      </c>
      <c r="AA40" s="246">
        <f ca="1">AA33*'Inputs &amp; Assumptions'!$L$98</f>
        <v>163.89735699274775</v>
      </c>
      <c r="AB40" s="246">
        <f ca="1">AB33*'Inputs &amp; Assumptions'!$L$98</f>
        <v>155.89106971540471</v>
      </c>
      <c r="AC40" s="246">
        <f ca="1">AC33*'Inputs &amp; Assumptions'!$L$98</f>
        <v>148.36110985822273</v>
      </c>
      <c r="AD40" s="246">
        <f ca="1">AD33*'Inputs &amp; Assumptions'!$L$98</f>
        <v>141.52775673264276</v>
      </c>
      <c r="AE40" s="246">
        <f ca="1">AE33*'Inputs &amp; Assumptions'!$L$98</f>
        <v>134.56477938729364</v>
      </c>
      <c r="AF40" s="246">
        <f ca="1">AF33*'Inputs &amp; Assumptions'!$L$98</f>
        <v>128.23728280540027</v>
      </c>
      <c r="AG40" s="246">
        <f ca="1">AG33*'Inputs &amp; Assumptions'!$L$98</f>
        <v>122.22641918313668</v>
      </c>
      <c r="AH40" s="246">
        <f ca="1">AH33*'Inputs &amp; Assumptions'!$L$98</f>
        <v>116.71798708012028</v>
      </c>
      <c r="AI40" s="246">
        <f ca="1">AI33*'Inputs &amp; Assumptions'!$L$98</f>
        <v>111.04461786259753</v>
      </c>
      <c r="AJ40" s="246">
        <f ca="1">AJ33*'Inputs &amp; Assumptions'!$L$98</f>
        <v>105.84716656376662</v>
      </c>
      <c r="AK40" s="246">
        <f ca="1">AK33*'Inputs &amp; Assumptions'!$L$98</f>
        <v>100.8953966461053</v>
      </c>
      <c r="AL40" s="246">
        <f ca="1">AL33*'Inputs &amp; Assumptions'!$L$98</f>
        <v>96.131582994014806</v>
      </c>
      <c r="AM40" s="246">
        <f ca="1">AM33*'Inputs &amp; Assumptions'!$L$98</f>
        <v>77.53116670165106</v>
      </c>
      <c r="AN40" s="246">
        <f ca="1">AN33*'Inputs &amp; Assumptions'!$L$98</f>
        <v>23.415599710883569</v>
      </c>
      <c r="AO40" s="246">
        <f ca="1">AO33*'Inputs &amp; Assumptions'!$L$98</f>
        <v>19.038706620735205</v>
      </c>
      <c r="AP40" s="246">
        <f ca="1">AP33*'Inputs &amp; Assumptions'!$L$98</f>
        <v>14.836889254192778</v>
      </c>
      <c r="AQ40" s="246">
        <f ca="1">AQ33*'Inputs &amp; Assumptions'!$L$98</f>
        <v>10.803144582312051</v>
      </c>
      <c r="AR40" s="246">
        <f ca="1">AR33*'Inputs &amp; Assumptions'!$L$98</f>
        <v>6.9307496973065463</v>
      </c>
      <c r="AS40" s="246">
        <f ca="1">AS33*'Inputs &amp; Assumptions'!$L$98</f>
        <v>3.321435362264979</v>
      </c>
      <c r="AT40" s="246">
        <f ca="1">AT33*'Inputs &amp; Assumptions'!$L$98</f>
        <v>0.8044021181028489</v>
      </c>
      <c r="AU40" s="246">
        <f>AU33*'Inputs &amp; Assumptions'!$L$98</f>
        <v>0</v>
      </c>
    </row>
    <row r="41" spans="1:47">
      <c r="F41" s="22" t="s">
        <v>329</v>
      </c>
      <c r="I41" s="244" t="s">
        <v>77</v>
      </c>
      <c r="K41" s="206">
        <f ca="1">SUM(K37:K40)</f>
        <v>1764.0189042173376</v>
      </c>
      <c r="L41" s="206">
        <f t="shared" ref="L41:AU41" ca="1" si="2">SUM(L37:L40)</f>
        <v>1867.2705033023103</v>
      </c>
      <c r="M41" s="206">
        <f t="shared" ca="1" si="2"/>
        <v>1919.9880220128684</v>
      </c>
      <c r="N41" s="206">
        <f t="shared" ca="1" si="2"/>
        <v>1953.5724215876487</v>
      </c>
      <c r="O41" s="206">
        <f t="shared" ca="1" si="2"/>
        <v>1973.6097160357194</v>
      </c>
      <c r="P41" s="206">
        <f t="shared" ca="1" si="2"/>
        <v>1992.0667664048797</v>
      </c>
      <c r="Q41" s="206">
        <f t="shared" ca="1" si="2"/>
        <v>2005.6939999673577</v>
      </c>
      <c r="R41" s="206">
        <f t="shared" ca="1" si="2"/>
        <v>1966.838522134545</v>
      </c>
      <c r="S41" s="206">
        <f t="shared" ca="1" si="2"/>
        <v>1830.1775825419031</v>
      </c>
      <c r="T41" s="206">
        <f t="shared" ca="1" si="2"/>
        <v>1683.8226570811048</v>
      </c>
      <c r="U41" s="206">
        <f t="shared" ca="1" si="2"/>
        <v>1571.5745664494236</v>
      </c>
      <c r="V41" s="206">
        <f t="shared" ca="1" si="2"/>
        <v>1477.31910861647</v>
      </c>
      <c r="W41" s="206">
        <f t="shared" ca="1" si="2"/>
        <v>1388.7312584667568</v>
      </c>
      <c r="X41" s="206">
        <f t="shared" ca="1" si="2"/>
        <v>1311.4049829501616</v>
      </c>
      <c r="Y41" s="206">
        <f t="shared" ca="1" si="2"/>
        <v>1241.5365410741285</v>
      </c>
      <c r="Z41" s="206">
        <f t="shared" ca="1" si="2"/>
        <v>1180.0456770266958</v>
      </c>
      <c r="AA41" s="206">
        <f t="shared" ca="1" si="2"/>
        <v>1119.3783751208007</v>
      </c>
      <c r="AB41" s="206">
        <f t="shared" ca="1" si="2"/>
        <v>1064.8655326479725</v>
      </c>
      <c r="AC41" s="206">
        <f t="shared" ca="1" si="2"/>
        <v>1013.6652475209494</v>
      </c>
      <c r="AD41" s="206">
        <f t="shared" ca="1" si="2"/>
        <v>967.15339875152904</v>
      </c>
      <c r="AE41" s="206">
        <f t="shared" ca="1" si="2"/>
        <v>919.99745295887419</v>
      </c>
      <c r="AF41" s="206">
        <f t="shared" ca="1" si="2"/>
        <v>877.09180936631662</v>
      </c>
      <c r="AG41" s="206">
        <f t="shared" ca="1" si="2"/>
        <v>836.33344104178229</v>
      </c>
      <c r="AH41" s="206">
        <f t="shared" ca="1" si="2"/>
        <v>798.89226912300228</v>
      </c>
      <c r="AI41" s="206">
        <f t="shared" ca="1" si="2"/>
        <v>760.46816346304627</v>
      </c>
      <c r="AJ41" s="206">
        <f t="shared" ca="1" si="2"/>
        <v>725.18409448449461</v>
      </c>
      <c r="AK41" s="206">
        <f t="shared" ca="1" si="2"/>
        <v>691.55465538708654</v>
      </c>
      <c r="AL41" s="206">
        <f t="shared" ca="1" si="2"/>
        <v>658.91855749257354</v>
      </c>
      <c r="AM41" s="206">
        <f t="shared" ca="1" si="2"/>
        <v>535.06785021301187</v>
      </c>
      <c r="AN41" s="206">
        <f t="shared" ca="1" si="2"/>
        <v>180.79751790643144</v>
      </c>
      <c r="AO41" s="206">
        <f t="shared" ca="1" si="2"/>
        <v>147.00246603454517</v>
      </c>
      <c r="AP41" s="206">
        <f t="shared" ca="1" si="2"/>
        <v>114.55921623753439</v>
      </c>
      <c r="AQ41" s="206">
        <f t="shared" ca="1" si="2"/>
        <v>83.413696432404066</v>
      </c>
      <c r="AR41" s="206">
        <f t="shared" ca="1" si="2"/>
        <v>53.513997419478905</v>
      </c>
      <c r="AS41" s="206">
        <f t="shared" ca="1" si="2"/>
        <v>25.6456070653207</v>
      </c>
      <c r="AT41" s="206">
        <f t="shared" ca="1" si="2"/>
        <v>6.2109836240527088</v>
      </c>
      <c r="AU41" s="206">
        <f t="shared" si="2"/>
        <v>0</v>
      </c>
    </row>
    <row r="43" spans="1:47">
      <c r="B43" s="37" t="s">
        <v>272</v>
      </c>
      <c r="C43" s="36" t="s">
        <v>330</v>
      </c>
      <c r="D43" s="36"/>
      <c r="E43" s="36"/>
      <c r="F43" s="36"/>
      <c r="G43" s="36"/>
      <c r="H43" s="36"/>
      <c r="I43" s="240" t="s">
        <v>50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1:47" s="225" customFormat="1"/>
    <row r="45" spans="1:47" s="225" customFormat="1">
      <c r="F45" s="225" t="s">
        <v>331</v>
      </c>
      <c r="I45" s="248" t="s">
        <v>77</v>
      </c>
      <c r="K45" s="225">
        <f ca="1">K33-K41</f>
        <v>1784.5741622331723</v>
      </c>
      <c r="L45" s="225">
        <f t="shared" ref="L45:AS45" ca="1" si="3">L33-L41</f>
        <v>1945.545957742424</v>
      </c>
      <c r="M45" s="225">
        <f t="shared" ca="1" si="3"/>
        <v>2013.6499994346827</v>
      </c>
      <c r="N45" s="225">
        <f t="shared" ca="1" si="3"/>
        <v>1971.2104214652429</v>
      </c>
      <c r="O45" s="225">
        <f t="shared" ca="1" si="3"/>
        <v>1953.7948391869954</v>
      </c>
      <c r="P45" s="225">
        <f t="shared" ca="1" si="3"/>
        <v>1943.9785716911047</v>
      </c>
      <c r="Q45" s="225">
        <f t="shared" ca="1" si="3"/>
        <v>1931.722216529799</v>
      </c>
      <c r="R45" s="225">
        <f t="shared" ca="1" si="3"/>
        <v>1882.3303196462587</v>
      </c>
      <c r="S45" s="225">
        <f t="shared" ca="1" si="3"/>
        <v>1758.4118376436331</v>
      </c>
      <c r="T45" s="225">
        <f t="shared" ca="1" si="3"/>
        <v>1629.3471957031265</v>
      </c>
      <c r="U45" s="225">
        <f t="shared" ca="1" si="3"/>
        <v>1526.832249948631</v>
      </c>
      <c r="V45" s="225">
        <f t="shared" ca="1" si="3"/>
        <v>1439.6358081793358</v>
      </c>
      <c r="W45" s="225">
        <f t="shared" ca="1" si="3"/>
        <v>1355.7498768572939</v>
      </c>
      <c r="X45" s="225">
        <f t="shared" ca="1" si="3"/>
        <v>1282.0437297735427</v>
      </c>
      <c r="Y45" s="225">
        <f t="shared" ca="1" si="3"/>
        <v>1214.7171530397279</v>
      </c>
      <c r="Z45" s="225">
        <f t="shared" ca="1" si="3"/>
        <v>1155.1583539154665</v>
      </c>
      <c r="AA45" s="225">
        <f t="shared" ca="1" si="3"/>
        <v>1095.4507734298445</v>
      </c>
      <c r="AB45" s="225">
        <f t="shared" ca="1" si="3"/>
        <v>1041.7705445872266</v>
      </c>
      <c r="AC45" s="225">
        <f t="shared" ca="1" si="3"/>
        <v>991.21461542800648</v>
      </c>
      <c r="AD45" s="225">
        <f t="shared" ca="1" si="3"/>
        <v>945.38385439229228</v>
      </c>
      <c r="AE45" s="225">
        <f t="shared" ca="1" si="3"/>
        <v>898.44551173428317</v>
      </c>
      <c r="AF45" s="225">
        <f t="shared" ca="1" si="3"/>
        <v>855.84444476071405</v>
      </c>
      <c r="AG45" s="225">
        <f t="shared" ca="1" si="3"/>
        <v>815.37492629790279</v>
      </c>
      <c r="AH45" s="225">
        <f t="shared" ca="1" si="3"/>
        <v>778.37782655429896</v>
      </c>
      <c r="AI45" s="225">
        <f t="shared" ca="1" si="3"/>
        <v>740.13478062610966</v>
      </c>
      <c r="AJ45" s="225">
        <f t="shared" ca="1" si="3"/>
        <v>705.1830212420814</v>
      </c>
      <c r="AK45" s="225">
        <f t="shared" ca="1" si="3"/>
        <v>671.89665064136352</v>
      </c>
      <c r="AL45" s="225">
        <f t="shared" ca="1" si="3"/>
        <v>640.15688837249138</v>
      </c>
      <c r="AM45" s="225">
        <f t="shared" ca="1" si="3"/>
        <v>512.65061872821877</v>
      </c>
      <c r="AN45" s="225">
        <f t="shared" ca="1" si="3"/>
        <v>135.62950521361682</v>
      </c>
      <c r="AO45" s="225">
        <f t="shared" ca="1" si="3"/>
        <v>110.27735316457924</v>
      </c>
      <c r="AP45" s="225">
        <f t="shared" ca="1" si="3"/>
        <v>85.939287197503162</v>
      </c>
      <c r="AQ45" s="225">
        <f t="shared" ca="1" si="3"/>
        <v>62.574743869110137</v>
      </c>
      <c r="AR45" s="225">
        <f t="shared" ca="1" si="3"/>
        <v>40.144782273852805</v>
      </c>
      <c r="AS45" s="225">
        <f t="shared" ca="1" si="3"/>
        <v>19.238654586908748</v>
      </c>
      <c r="AT45" s="225">
        <f ca="1">AT33-AT41</f>
        <v>4.6593152692290332</v>
      </c>
    </row>
    <row r="46" spans="1:47" s="225" customFormat="1">
      <c r="F46" s="225" t="s">
        <v>332</v>
      </c>
      <c r="I46" s="248" t="s">
        <v>77</v>
      </c>
      <c r="K46" s="225">
        <f>-K24/$AW$24*'Inputs &amp; Assumptions'!$L$80</f>
        <v>-415.9512288520973</v>
      </c>
      <c r="L46" s="225">
        <f>-L24/$AW$24*'Inputs &amp; Assumptions'!$L$80</f>
        <v>-395.15366740949247</v>
      </c>
      <c r="M46" s="225">
        <f>-M24/$AW$24*'Inputs &amp; Assumptions'!$L$80</f>
        <v>-375.39598403901783</v>
      </c>
      <c r="N46" s="225">
        <f>-N24/$AW$24*'Inputs &amp; Assumptions'!$L$80</f>
        <v>-357.60324287771641</v>
      </c>
      <c r="O46" s="225">
        <f>-O24/$AW$24*'Inputs &amp; Assumptions'!$L$80</f>
        <v>-338.79487559521351</v>
      </c>
      <c r="P46" s="225">
        <f>-P24/$AW$24*'Inputs &amp; Assumptions'!$L$80</f>
        <v>-321.85513181545286</v>
      </c>
      <c r="Q46" s="225">
        <f>-Q24/$AW$24*'Inputs &amp; Assumptions'!$L$80</f>
        <v>-305.76237522468023</v>
      </c>
      <c r="R46" s="225">
        <f>-R24/$AW$24*'Inputs &amp; Assumptions'!$L$80</f>
        <v>-291.27007634416793</v>
      </c>
      <c r="S46" s="225">
        <f>-S24/$AW$24*'Inputs &amp; Assumptions'!$L$80</f>
        <v>-275.95054364027385</v>
      </c>
      <c r="T46" s="225">
        <f>-T24/$AW$24*'Inputs &amp; Assumptions'!$L$80</f>
        <v>-262.15301645826014</v>
      </c>
      <c r="U46" s="225">
        <f>-U24/$AW$24*'Inputs &amp; Assumptions'!$L$80</f>
        <v>-249.04536563534711</v>
      </c>
      <c r="V46" s="225">
        <f>-V24/$AW$24*'Inputs &amp; Assumptions'!$L$80</f>
        <v>-237.24129762030188</v>
      </c>
      <c r="W46" s="225">
        <f>-W24/$AW$24*'Inputs &amp; Assumptions'!$L$80</f>
        <v>-224.76344248590075</v>
      </c>
      <c r="X46" s="225">
        <f>-X24/$AW$24*'Inputs &amp; Assumptions'!$L$80</f>
        <v>-213.52527036160575</v>
      </c>
      <c r="Y46" s="225">
        <f>-Y24/$AW$24*'Inputs &amp; Assumptions'!$L$80</f>
        <v>-202.84900684352542</v>
      </c>
      <c r="Z46" s="225">
        <f>-Z24/$AW$24*'Inputs &amp; Assumptions'!$L$80</f>
        <v>-193.23451966984598</v>
      </c>
      <c r="AA46" s="225">
        <f>-AA24/$AW$24*'Inputs &amp; Assumptions'!$L$80</f>
        <v>-183.07122867628169</v>
      </c>
      <c r="AB46" s="225">
        <f>-AB24/$AW$24*'Inputs &amp; Assumptions'!$L$80</f>
        <v>-173.91766724246756</v>
      </c>
      <c r="AC46" s="225">
        <f>-AC24/$AW$24*'Inputs &amp; Assumptions'!$L$80</f>
        <v>-165.22178388034419</v>
      </c>
      <c r="AD46" s="225">
        <f>-AD24/$AW$24*'Inputs &amp; Assumptions'!$L$80</f>
        <v>-157.39072398683746</v>
      </c>
      <c r="AE46" s="225">
        <f>-AE24/$AW$24*'Inputs &amp; Assumptions'!$L$80</f>
        <v>-149.11265995201066</v>
      </c>
      <c r="AF46" s="225">
        <f>-AF24/$AW$24*'Inputs &amp; Assumptions'!$L$80</f>
        <v>-141.6570269544101</v>
      </c>
      <c r="AG46" s="225">
        <f>-AG24/$AW$24*'Inputs &amp; Assumptions'!$L$80</f>
        <v>-134.57417560668958</v>
      </c>
      <c r="AH46" s="225">
        <f>-AH24/$AW$24*'Inputs &amp; Assumptions'!$L$80</f>
        <v>-128.19572837930403</v>
      </c>
      <c r="AI46" s="225">
        <f>-AI24/$AW$24*'Inputs &amp; Assumptions'!$L$80</f>
        <v>-121.45319348503733</v>
      </c>
      <c r="AJ46" s="225">
        <f>-AJ24/$AW$24*'Inputs &amp; Assumptions'!$L$80</f>
        <v>-115.38053381078547</v>
      </c>
      <c r="AK46" s="225">
        <f>-AK24/$AW$24*'Inputs &amp; Assumptions'!$L$80</f>
        <v>-109.61150712024619</v>
      </c>
      <c r="AL46" s="225">
        <f>-AL24/$AW$24*'Inputs &amp; Assumptions'!$L$80</f>
        <v>-104.41622198824547</v>
      </c>
      <c r="AM46" s="225">
        <f>-AM24/$AW$24*'Inputs &amp; Assumptions'!$L$80</f>
        <v>-79.648504044440969</v>
      </c>
      <c r="AN46" s="225">
        <f>-AN24/$AW$24*'Inputs &amp; Assumptions'!$L$80</f>
        <v>0</v>
      </c>
      <c r="AO46" s="225">
        <f>-AO24/$AW$24*'Inputs &amp; Assumptions'!$L$80</f>
        <v>0</v>
      </c>
      <c r="AP46" s="225">
        <f>-AP24/$AW$24*'Inputs &amp; Assumptions'!$L$80</f>
        <v>0</v>
      </c>
      <c r="AQ46" s="225">
        <f>-AQ24/$AW$24*'Inputs &amp; Assumptions'!$L$80</f>
        <v>0</v>
      </c>
      <c r="AR46" s="225">
        <f>-AR24/$AW$24*'Inputs &amp; Assumptions'!$L$80</f>
        <v>0</v>
      </c>
      <c r="AS46" s="225">
        <f>-AS24/$AW$24*'Inputs &amp; Assumptions'!$L$80</f>
        <v>0</v>
      </c>
      <c r="AT46" s="225">
        <f>-AT24/$AW$24*'Inputs &amp; Assumptions'!$L$80</f>
        <v>0</v>
      </c>
    </row>
    <row r="47" spans="1:47" s="225" customFormat="1">
      <c r="F47" s="225" t="s">
        <v>333</v>
      </c>
      <c r="I47" s="248" t="s">
        <v>77</v>
      </c>
      <c r="K47" s="256">
        <f>-'PD Reserves'!L69</f>
        <v>-54.868803511962412</v>
      </c>
      <c r="L47" s="256">
        <f>-'PD Reserves'!M69</f>
        <v>-52.125363336364295</v>
      </c>
      <c r="M47" s="256">
        <f>-'PD Reserves'!N69</f>
        <v>-49.51909516954607</v>
      </c>
      <c r="N47" s="256">
        <f>-'PD Reserves'!O69</f>
        <v>-47.172025727263481</v>
      </c>
      <c r="O47" s="256">
        <f>-'PD Reserves'!P69</f>
        <v>-44.690983390515321</v>
      </c>
      <c r="P47" s="256">
        <f>-'PD Reserves'!Q69</f>
        <v>-42.456434220989564</v>
      </c>
      <c r="Q47" s="256">
        <f>-'PD Reserves'!R69</f>
        <v>-40.333612509940082</v>
      </c>
      <c r="R47" s="256">
        <f>-'PD Reserves'!S69</f>
        <v>-38.42190978001689</v>
      </c>
      <c r="S47" s="256">
        <f>-'PD Reserves'!T69</f>
        <v>-36.401085290220919</v>
      </c>
      <c r="T47" s="256">
        <f>-'PD Reserves'!U69</f>
        <v>-34.581031025709869</v>
      </c>
      <c r="U47" s="256">
        <f>-'PD Reserves'!V69</f>
        <v>-32.851979474424375</v>
      </c>
      <c r="V47" s="256">
        <f>-'PD Reserves'!W69</f>
        <v>-31.294885652759877</v>
      </c>
      <c r="W47" s="256">
        <f>-'PD Reserves'!X69</f>
        <v>-29.648911475667994</v>
      </c>
      <c r="X47" s="256">
        <f>-'PD Reserves'!Y69</f>
        <v>-28.166465901884596</v>
      </c>
      <c r="Y47" s="256">
        <f>-'PD Reserves'!Z69</f>
        <v>-26.758142606790365</v>
      </c>
      <c r="Z47" s="256">
        <f>-'PD Reserves'!AA69</f>
        <v>-25.489879957208242</v>
      </c>
      <c r="AA47" s="256">
        <f>-'PD Reserves'!AB69</f>
        <v>-24.149223702628301</v>
      </c>
      <c r="AB47" s="256">
        <f>-'PD Reserves'!AC69</f>
        <v>-22.941762517496883</v>
      </c>
      <c r="AC47" s="256">
        <f>-'PD Reserves'!AD69</f>
        <v>-21.794674391622038</v>
      </c>
      <c r="AD47" s="256">
        <f>-'PD Reserves'!AE69</f>
        <v>-20.761666536895842</v>
      </c>
      <c r="AE47" s="256">
        <f>-'PD Reserves'!AF69</f>
        <v>-19.669693638438893</v>
      </c>
      <c r="AF47" s="256">
        <f>-'PD Reserves'!AG69</f>
        <v>-18.686208956516943</v>
      </c>
      <c r="AG47" s="256">
        <f>-'PD Reserves'!AH69</f>
        <v>-17.751898508691099</v>
      </c>
      <c r="AH47" s="256">
        <f>-'PD Reserves'!AI69</f>
        <v>-16.910507154717518</v>
      </c>
      <c r="AI47" s="256">
        <f>-'PD Reserves'!AJ69</f>
        <v>-16.021088404093714</v>
      </c>
      <c r="AJ47" s="256">
        <f>-'PD Reserves'!AK69</f>
        <v>-15.220033983889028</v>
      </c>
      <c r="AK47" s="256">
        <f>-'PD Reserves'!AL69</f>
        <v>-14.459032284694574</v>
      </c>
      <c r="AL47" s="256">
        <f>-'PD Reserves'!AM69</f>
        <v>-13.773713768187131</v>
      </c>
      <c r="AM47" s="256">
        <f>-'PD Reserves'!AN69</f>
        <v>-10.5065637875303</v>
      </c>
      <c r="AN47" s="225">
        <f>-'PD Reserves'!AO69</f>
        <v>0</v>
      </c>
      <c r="AO47" s="225">
        <f>-'PD Reserves'!AP69</f>
        <v>0</v>
      </c>
      <c r="AP47" s="225">
        <f>-'PD Reserves'!AQ69</f>
        <v>0</v>
      </c>
      <c r="AQ47" s="225">
        <f>-'PD Reserves'!AR69</f>
        <v>0</v>
      </c>
      <c r="AR47" s="225">
        <f>-'PD Reserves'!AS69</f>
        <v>0</v>
      </c>
      <c r="AS47" s="225">
        <f>-'PD Reserves'!AT69</f>
        <v>0</v>
      </c>
      <c r="AT47" s="225">
        <f>-'PD Reserves'!AU69</f>
        <v>0</v>
      </c>
    </row>
    <row r="48" spans="1:47" s="228" customFormat="1">
      <c r="A48" s="225"/>
      <c r="F48" s="228" t="s">
        <v>334</v>
      </c>
      <c r="I48" s="249" t="s">
        <v>77</v>
      </c>
      <c r="K48" s="228">
        <f ca="1">-K25/SUM($K$25:$AU$25)*'PUD Reserves'!$AP$24</f>
        <v>-35.234374999999986</v>
      </c>
      <c r="L48" s="228">
        <f ca="1">-L25/SUM($K$25:$AU$25)*'PUD Reserves'!$AP$24</f>
        <v>-93.018749999999955</v>
      </c>
      <c r="M48" s="228">
        <f ca="1">-M25/SUM($K$25:$AU$25)*'PUD Reserves'!$AP$24</f>
        <v>-134.51074999999994</v>
      </c>
      <c r="N48" s="228">
        <f ca="1">-N25/SUM($K$25:$AU$25)*'PUD Reserves'!$AP$24</f>
        <v>-169.93228999999991</v>
      </c>
      <c r="O48" s="228">
        <f ca="1">-O25/SUM($K$25:$AU$25)*'PUD Reserves'!$AP$24</f>
        <v>-201.24341599999988</v>
      </c>
      <c r="P48" s="228">
        <f ca="1">-P25/SUM($K$25:$AU$25)*'PUD Reserves'!$AP$24</f>
        <v>-229.42342939999986</v>
      </c>
      <c r="Q48" s="228">
        <f ca="1">-Q25/SUM($K$25:$AU$25)*'PUD Reserves'!$AP$24</f>
        <v>-254.91892573399986</v>
      </c>
      <c r="R48" s="228">
        <f ca="1">-R25/SUM($K$25:$AU$25)*'PUD Reserves'!$AP$24</f>
        <v>-261.18713454561322</v>
      </c>
      <c r="S48" s="228">
        <f ca="1">-S25/SUM($K$25:$AU$25)*'PUD Reserves'!$AP$24</f>
        <v>-236.60643047815697</v>
      </c>
      <c r="T48" s="228">
        <f ca="1">-T25/SUM($K$25:$AU$25)*'PUD Reserves'!$AP$24</f>
        <v>-206.87038312888859</v>
      </c>
      <c r="U48" s="228">
        <f ca="1">-U25/SUM($K$25:$AU$25)*'PUD Reserves'!$AP$24</f>
        <v>-187.36703884296773</v>
      </c>
      <c r="V48" s="228">
        <f ca="1">-V25/SUM($K$25:$AU$25)*'PUD Reserves'!$AP$24</f>
        <v>-172.03293050492951</v>
      </c>
      <c r="W48" s="228">
        <f ca="1">-W25/SUM($K$25:$AU$25)*'PUD Reserves'!$AP$24</f>
        <v>-159.43033878042127</v>
      </c>
      <c r="X48" s="228">
        <f ca="1">-X25/SUM($K$25:$AU$25)*'PUD Reserves'!$AP$24</f>
        <v>-148.88304765202255</v>
      </c>
      <c r="Y48" s="228">
        <f ca="1">-Y25/SUM($K$25:$AU$25)*'PUD Reserves'!$AP$24</f>
        <v>-140.03565354670445</v>
      </c>
      <c r="Z48" s="228">
        <f ca="1">-Z25/SUM($K$25:$AU$25)*'PUD Reserves'!$AP$24</f>
        <v>-132.53468595097121</v>
      </c>
      <c r="AA48" s="228">
        <f ca="1">-AA25/SUM($K$25:$AU$25)*'PUD Reserves'!$AP$24</f>
        <v>-126.02033048700464</v>
      </c>
      <c r="AB48" s="228">
        <f ca="1">-AB25/SUM($K$25:$AU$25)*'PUD Reserves'!$AP$24</f>
        <v>-120.19468282606105</v>
      </c>
      <c r="AC48" s="228">
        <f ca="1">-AC25/SUM($K$25:$AU$25)*'PUD Reserves'!$AP$24</f>
        <v>-114.85192922764389</v>
      </c>
      <c r="AD48" s="228">
        <f ca="1">-AD25/SUM($K$25:$AU$25)*'PUD Reserves'!$AP$24</f>
        <v>-109.90877965317181</v>
      </c>
      <c r="AE48" s="228">
        <f ca="1">-AE25/SUM($K$25:$AU$25)*'PUD Reserves'!$AP$24</f>
        <v>-105.33995524768659</v>
      </c>
      <c r="AF48" s="228">
        <f ca="1">-AF25/SUM($K$25:$AU$25)*'PUD Reserves'!$AP$24</f>
        <v>-101.08313817853782</v>
      </c>
      <c r="AG48" s="228">
        <f ca="1">-AG25/SUM($K$25:$AU$25)*'PUD Reserves'!$AP$24</f>
        <v>-97.039812651396289</v>
      </c>
      <c r="AH48" s="228">
        <f ca="1">-AH25/SUM($K$25:$AU$25)*'PUD Reserves'!$AP$24</f>
        <v>-93.158220145340437</v>
      </c>
      <c r="AI48" s="228">
        <f ca="1">-AI25/SUM($K$25:$AU$25)*'PUD Reserves'!$AP$24</f>
        <v>-89.431891339526828</v>
      </c>
      <c r="AJ48" s="228">
        <f ca="1">-AJ25/SUM($K$25:$AU$25)*'PUD Reserves'!$AP$24</f>
        <v>-85.85461568594576</v>
      </c>
      <c r="AK48" s="228">
        <f ca="1">-AK25/SUM($K$25:$AU$25)*'PUD Reserves'!$AP$24</f>
        <v>-82.42043105850793</v>
      </c>
      <c r="AL48" s="228">
        <f ca="1">-AL25/SUM($K$25:$AU$25)*'PUD Reserves'!$AP$24</f>
        <v>-78.560188968771556</v>
      </c>
      <c r="AM48" s="228">
        <f ca="1">-AM25/SUM($K$25:$AU$25)*'PUD Reserves'!$AP$24</f>
        <v>-70.51828738859173</v>
      </c>
      <c r="AN48" s="228">
        <f ca="1">-AN25/SUM($K$25:$AU$25)*'PUD Reserves'!$AP$24</f>
        <v>-59.025417544982247</v>
      </c>
      <c r="AO48" s="228">
        <f ca="1">-AO25/SUM($K$25:$AU$25)*'PUD Reserves'!$AP$24</f>
        <v>-47.992262495117146</v>
      </c>
      <c r="AP48" s="228">
        <f ca="1">-AP25/SUM($K$25:$AU$25)*'PUD Reserves'!$AP$24</f>
        <v>-37.400433647246658</v>
      </c>
      <c r="AQ48" s="228">
        <f ca="1">-AQ25/SUM($K$25:$AU$25)*'PUD Reserves'!$AP$24</f>
        <v>-27.232277953290989</v>
      </c>
      <c r="AR48" s="228">
        <f ca="1">-AR25/SUM($K$25:$AU$25)*'PUD Reserves'!$AP$24</f>
        <v>-17.470848487093541</v>
      </c>
      <c r="AS48" s="228">
        <f ca="1">-AS25/SUM($K$25:$AU$25)*'PUD Reserves'!$AP$24</f>
        <v>-8.3725854356502403</v>
      </c>
      <c r="AT48" s="228">
        <f ca="1">-AT25/SUM($K$25:$AU$25)*'PUD Reserves'!$AP$24</f>
        <v>-2.0277153470905982</v>
      </c>
    </row>
    <row r="49" spans="2:47" s="225" customFormat="1">
      <c r="F49" s="225" t="s">
        <v>330</v>
      </c>
      <c r="I49" s="248" t="s">
        <v>77</v>
      </c>
      <c r="K49" s="225">
        <f ca="1">SUM(K45:K48)</f>
        <v>1278.5197548691126</v>
      </c>
      <c r="L49" s="225">
        <f t="shared" ref="L49:AT49" ca="1" si="4">SUM(L45:L48)</f>
        <v>1405.2481769965673</v>
      </c>
      <c r="M49" s="225">
        <f t="shared" ca="1" si="4"/>
        <v>1454.224170226119</v>
      </c>
      <c r="N49" s="225">
        <f t="shared" ca="1" si="4"/>
        <v>1396.5028628602631</v>
      </c>
      <c r="O49" s="225">
        <f t="shared" ca="1" si="4"/>
        <v>1369.0655642012669</v>
      </c>
      <c r="P49" s="225">
        <f t="shared" ca="1" si="4"/>
        <v>1350.2435762546625</v>
      </c>
      <c r="Q49" s="225">
        <f t="shared" ca="1" si="4"/>
        <v>1330.7073030611787</v>
      </c>
      <c r="R49" s="225">
        <f t="shared" ca="1" si="4"/>
        <v>1291.4511989764608</v>
      </c>
      <c r="S49" s="225">
        <f t="shared" ca="1" si="4"/>
        <v>1209.4537782349817</v>
      </c>
      <c r="T49" s="225">
        <f t="shared" ca="1" si="4"/>
        <v>1125.7427650902682</v>
      </c>
      <c r="U49" s="225">
        <f t="shared" ca="1" si="4"/>
        <v>1057.5678659958919</v>
      </c>
      <c r="V49" s="225">
        <f t="shared" ca="1" si="4"/>
        <v>999.06669440134465</v>
      </c>
      <c r="W49" s="225">
        <f t="shared" ca="1" si="4"/>
        <v>941.90718411530395</v>
      </c>
      <c r="X49" s="225">
        <f t="shared" ca="1" si="4"/>
        <v>891.46894585802977</v>
      </c>
      <c r="Y49" s="225">
        <f t="shared" ca="1" si="4"/>
        <v>845.07435004270769</v>
      </c>
      <c r="Z49" s="225">
        <f t="shared" ca="1" si="4"/>
        <v>803.89926833744107</v>
      </c>
      <c r="AA49" s="225">
        <f t="shared" ca="1" si="4"/>
        <v>762.20999056392986</v>
      </c>
      <c r="AB49" s="225">
        <f t="shared" ca="1" si="4"/>
        <v>724.71643200120116</v>
      </c>
      <c r="AC49" s="225">
        <f t="shared" ca="1" si="4"/>
        <v>689.34622792839627</v>
      </c>
      <c r="AD49" s="225">
        <f t="shared" ca="1" si="4"/>
        <v>657.3226842153872</v>
      </c>
      <c r="AE49" s="225">
        <f t="shared" ca="1" si="4"/>
        <v>624.32320289614711</v>
      </c>
      <c r="AF49" s="225">
        <f t="shared" ca="1" si="4"/>
        <v>594.41807067124921</v>
      </c>
      <c r="AG49" s="225">
        <f t="shared" ca="1" si="4"/>
        <v>566.00903953112584</v>
      </c>
      <c r="AH49" s="225">
        <f t="shared" ca="1" si="4"/>
        <v>540.113370874937</v>
      </c>
      <c r="AI49" s="225">
        <f t="shared" ca="1" si="4"/>
        <v>513.22860739745181</v>
      </c>
      <c r="AJ49" s="225">
        <f t="shared" ca="1" si="4"/>
        <v>488.72783776146116</v>
      </c>
      <c r="AK49" s="225">
        <f t="shared" ca="1" si="4"/>
        <v>465.40568017791486</v>
      </c>
      <c r="AL49" s="225">
        <f t="shared" ca="1" si="4"/>
        <v>443.40676364728728</v>
      </c>
      <c r="AM49" s="225">
        <f t="shared" ca="1" si="4"/>
        <v>351.97726350765578</v>
      </c>
      <c r="AN49" s="225">
        <f t="shared" ca="1" si="4"/>
        <v>76.604087668634577</v>
      </c>
      <c r="AO49" s="225">
        <f t="shared" ca="1" si="4"/>
        <v>62.285090669462093</v>
      </c>
      <c r="AP49" s="225">
        <f t="shared" ca="1" si="4"/>
        <v>48.538853550256505</v>
      </c>
      <c r="AQ49" s="225">
        <f t="shared" ca="1" si="4"/>
        <v>35.342465915819147</v>
      </c>
      <c r="AR49" s="225">
        <f t="shared" ca="1" si="4"/>
        <v>22.673933786759264</v>
      </c>
      <c r="AS49" s="225">
        <f t="shared" ca="1" si="4"/>
        <v>10.866069151258507</v>
      </c>
      <c r="AT49" s="225">
        <f t="shared" ca="1" si="4"/>
        <v>2.631599922138435</v>
      </c>
    </row>
    <row r="50" spans="2:47">
      <c r="I50" s="244"/>
    </row>
    <row r="51" spans="2:47">
      <c r="B51" s="22" t="s">
        <v>335</v>
      </c>
      <c r="K51" s="216">
        <f>1/((1+'Inputs &amp; Assumptions'!$L$40)^(K8-1))</f>
        <v>1</v>
      </c>
      <c r="L51" s="216">
        <f>1/((1+'Inputs &amp; Assumptions'!$L$40)^(L8-1))</f>
        <v>0.92253221848966938</v>
      </c>
      <c r="M51" s="216">
        <f>1/((1+'Inputs &amp; Assumptions'!$L$40)^(M8-1))</f>
        <v>0.85106569415147115</v>
      </c>
      <c r="N51" s="216">
        <f>1/((1+'Inputs &amp; Assumptions'!$L$40)^(N8-1))</f>
        <v>0.78513552290600708</v>
      </c>
      <c r="O51" s="216">
        <f>1/((1+'Inputs &amp; Assumptions'!$L$40)^(O8-1))</f>
        <v>0.7243128157615254</v>
      </c>
      <c r="P51" s="216">
        <f>1/((1+'Inputs &amp; Assumptions'!$L$40)^(P8-1))</f>
        <v>0.66820190880497921</v>
      </c>
      <c r="Q51" s="216">
        <f>1/((1+'Inputs &amp; Assumptions'!$L$40)^(Q8-1))</f>
        <v>0.61643778932888915</v>
      </c>
      <c r="R51" s="216">
        <f>1/((1+'Inputs &amp; Assumptions'!$L$40)^(R8-1))</f>
        <v>0.56868372135044754</v>
      </c>
      <c r="S51" s="216">
        <f>1/((1+'Inputs &amp; Assumptions'!$L$40)^(S8-1))</f>
        <v>0.52462905507638935</v>
      </c>
      <c r="T51" s="216">
        <f>1/((1+'Inputs &amp; Assumptions'!$L$40)^(T8-1))</f>
        <v>0.48398720606376039</v>
      </c>
      <c r="U51" s="216">
        <f>1/((1+'Inputs &amp; Assumptions'!$L$40)^(U8-1))</f>
        <v>0.4464937909306177</v>
      </c>
      <c r="V51" s="216">
        <f>1/((1+'Inputs &amp; Assumptions'!$L$40)^(V8-1))</f>
        <v>0.41190490748908537</v>
      </c>
      <c r="W51" s="216">
        <f>1/((1+'Inputs &amp; Assumptions'!$L$40)^(W8-1))</f>
        <v>0.37999554811268799</v>
      </c>
      <c r="X51" s="216">
        <f>1/((1+'Inputs &amp; Assumptions'!$L$40)^(X8-1))</f>
        <v>0.35055813601659591</v>
      </c>
      <c r="Y51" s="216">
        <f>1/((1+'Inputs &amp; Assumptions'!$L$40)^(Y8-1))</f>
        <v>0.32340117492899351</v>
      </c>
      <c r="Z51" s="216">
        <f>1/((1+'Inputs &amp; Assumptions'!$L$40)^(Z8-1))</f>
        <v>0.29834800336941003</v>
      </c>
      <c r="AA51" s="216">
        <f>1/((1+'Inputs &amp; Assumptions'!$L$40)^(AA8-1))</f>
        <v>0.27523564543034518</v>
      </c>
      <c r="AB51" s="216">
        <f>1/((1+'Inputs &amp; Assumptions'!$L$40)^(AB8-1))</f>
        <v>0.2539137505862924</v>
      </c>
      <c r="AC51" s="216">
        <f>1/((1+'Inputs &amp; Assumptions'!$L$40)^(AC8-1))</f>
        <v>0.23424361563340493</v>
      </c>
      <c r="AD51" s="216">
        <f>1/((1+'Inputs &amp; Assumptions'!$L$40)^(AD8-1))</f>
        <v>0.21609728239732642</v>
      </c>
      <c r="AE51" s="216">
        <f>1/((1+'Inputs &amp; Assumptions'!$L$40)^(AE8-1))</f>
        <v>0.19935670533959413</v>
      </c>
      <c r="AF51" s="216">
        <f>1/((1+'Inputs &amp; Assumptions'!$L$40)^(AF8-1))</f>
        <v>0.1839129836477271</v>
      </c>
      <c r="AG51" s="216">
        <f>1/((1+'Inputs &amp; Assumptions'!$L$40)^(AG8-1))</f>
        <v>0.16966565281359197</v>
      </c>
      <c r="AH51" s="216">
        <f>1/((1+'Inputs &amp; Assumptions'!$L$40)^(AH8-1))</f>
        <v>0.15652203109162102</v>
      </c>
      <c r="AI51" s="216">
        <f>1/((1+'Inputs &amp; Assumptions'!$L$40)^(AI8-1))</f>
        <v>0.14439661658546216</v>
      </c>
      <c r="AJ51" s="216">
        <f>1/((1+'Inputs &amp; Assumptions'!$L$40)^(AJ8-1))</f>
        <v>0.13321053104098857</v>
      </c>
      <c r="AK51" s="216">
        <f>1/((1+'Inputs &amp; Assumptions'!$L$40)^(AK8-1))</f>
        <v>0.12289100672743015</v>
      </c>
      <c r="AL51" s="216">
        <f>1/((1+'Inputs &amp; Assumptions'!$L$40)^(AL8-1))</f>
        <v>0.11337091306868505</v>
      </c>
      <c r="AM51" s="216">
        <f>1/((1+'Inputs &amp; Assumptions'!$L$40)^(AM8-1))</f>
        <v>0.10458831994545346</v>
      </c>
      <c r="AN51" s="216">
        <f>1/((1+'Inputs &amp; Assumptions'!$L$40)^(AN8-1))</f>
        <v>9.6486094827386515E-2</v>
      </c>
      <c r="AO51" s="216">
        <f>1/((1+'Inputs &amp; Assumptions'!$L$40)^(AO8-1))</f>
        <v>8.9011531114513487E-2</v>
      </c>
      <c r="AP51" s="216">
        <f>1/((1+'Inputs &amp; Assumptions'!$L$40)^(AP8-1))</f>
        <v>8.2116005270234368E-2</v>
      </c>
      <c r="AQ51" s="216">
        <f>1/((1+'Inputs &amp; Assumptions'!$L$40)^(AQ8-1))</f>
        <v>7.5754660515458691E-2</v>
      </c>
      <c r="AR51" s="216">
        <f>1/((1+'Inputs &amp; Assumptions'!$L$40)^(AR8-1))</f>
        <v>6.988611502625787E-2</v>
      </c>
      <c r="AS51" s="216">
        <f>1/((1+'Inputs &amp; Assumptions'!$L$40)^(AS8-1))</f>
        <v>6.4472192736797898E-2</v>
      </c>
      <c r="AT51" s="216">
        <f>1/((1+'Inputs &amp; Assumptions'!$L$40)^(AT8-1))</f>
        <v>5.9477674996371702E-2</v>
      </c>
      <c r="AU51" s="216">
        <f>1/((1+'Inputs &amp; Assumptions'!$L$40)^(AU8-1))</f>
        <v>5.4870071465010328E-2</v>
      </c>
    </row>
    <row r="52" spans="2:47">
      <c r="I52" s="244"/>
    </row>
    <row r="54" spans="2:47">
      <c r="B54" s="22" t="s">
        <v>336</v>
      </c>
      <c r="I54" s="248" t="s">
        <v>77</v>
      </c>
      <c r="K54" s="247">
        <f ca="1">-K49*'Inputs &amp; Assumptions'!$L$34*DCF!K51</f>
        <v>-319.62993871727815</v>
      </c>
      <c r="L54" s="247">
        <f ca="1">-L49*'Inputs &amp; Assumptions'!$L$34*DCF!L51</f>
        <v>-324.09667956330168</v>
      </c>
      <c r="M54" s="247">
        <f ca="1">-M49*'Inputs &amp; Assumptions'!$L$34*DCF!M51</f>
        <v>-309.41007572133475</v>
      </c>
      <c r="N54" s="247">
        <f ca="1">-N49*'Inputs &amp; Assumptions'!$L$34*DCF!N51</f>
        <v>-274.11100136788212</v>
      </c>
      <c r="O54" s="247">
        <f ca="1">-O49*'Inputs &amp; Assumptions'!$L$34*DCF!O51</f>
        <v>-247.90793344219026</v>
      </c>
      <c r="P54" s="247">
        <f ca="1">-P49*'Inputs &amp; Assumptions'!$L$34*DCF!P51</f>
        <v>-225.55883375125674</v>
      </c>
      <c r="Q54" s="247">
        <f ca="1">-Q49*'Inputs &amp; Assumptions'!$L$34*DCF!Q51</f>
        <v>-205.07456703571029</v>
      </c>
      <c r="R54" s="247">
        <f ca="1">-R49*'Inputs &amp; Assumptions'!$L$34*DCF!R51</f>
        <v>-183.60681844410774</v>
      </c>
      <c r="S54" s="247">
        <f ca="1">-S49*'Inputs &amp; Assumptions'!$L$34*DCF!S51</f>
        <v>-158.62864820849686</v>
      </c>
      <c r="T54" s="247">
        <f ca="1">-T49*'Inputs &amp; Assumptions'!$L$34*DCF!T51</f>
        <v>-136.21127390563277</v>
      </c>
      <c r="U54" s="247">
        <f ca="1">-U49*'Inputs &amp; Assumptions'!$L$34*DCF!U51</f>
        <v>-118.04937141372731</v>
      </c>
      <c r="V54" s="247">
        <f ca="1">-V49*'Inputs &amp; Assumptions'!$L$34*DCF!V51</f>
        <v>-102.88011858320304</v>
      </c>
      <c r="W54" s="247">
        <f ca="1">-W49*'Inputs &amp; Assumptions'!$L$34*DCF!W51</f>
        <v>-89.480134174793363</v>
      </c>
      <c r="X54" s="247">
        <f ca="1">-X49*'Inputs &amp; Assumptions'!$L$34*DCF!X51</f>
        <v>-78.127922994167648</v>
      </c>
      <c r="Y54" s="247">
        <f ca="1">-Y49*'Inputs &amp; Assumptions'!$L$34*DCF!Y51</f>
        <v>-68.324509426541795</v>
      </c>
      <c r="Z54" s="247">
        <f ca="1">-Z49*'Inputs &amp; Assumptions'!$L$34*DCF!Z51</f>
        <v>-59.960435404651285</v>
      </c>
      <c r="AA54" s="247">
        <f ca="1">-AA49*'Inputs &amp; Assumptions'!$L$34*DCF!AA51</f>
        <v>-52.446839676580133</v>
      </c>
      <c r="AB54" s="247">
        <f ca="1">-AB49*'Inputs &amp; Assumptions'!$L$34*DCF!AB51</f>
        <v>-46.003866840235183</v>
      </c>
      <c r="AC54" s="247">
        <f ca="1">-AC49*'Inputs &amp; Assumptions'!$L$34*DCF!AC51</f>
        <v>-40.368738213299203</v>
      </c>
      <c r="AD54" s="247">
        <f ca="1">-AD49*'Inputs &amp; Assumptions'!$L$34*DCF!AD51</f>
        <v>-35.511411429265287</v>
      </c>
      <c r="AE54" s="247">
        <f ca="1">-AE49*'Inputs &amp; Assumptions'!$L$34*DCF!AE51</f>
        <v>-31.115754199109709</v>
      </c>
      <c r="AF54" s="247">
        <f ca="1">-AF49*'Inputs &amp; Assumptions'!$L$34*DCF!AF51</f>
        <v>-27.330300227818736</v>
      </c>
      <c r="AG54" s="247">
        <f ca="1">-AG49*'Inputs &amp; Assumptions'!$L$34*DCF!AG51</f>
        <v>-24.008073297610661</v>
      </c>
      <c r="AH54" s="247">
        <f ca="1">-AH49*'Inputs &amp; Assumptions'!$L$34*DCF!AH51</f>
        <v>-21.134910457271783</v>
      </c>
      <c r="AI54" s="247">
        <f ca="1">-AI49*'Inputs &amp; Assumptions'!$L$34*DCF!AI51</f>
        <v>-18.527118610765132</v>
      </c>
      <c r="AJ54" s="247">
        <f ca="1">-AJ49*'Inputs &amp; Assumptions'!$L$34*DCF!AJ51</f>
        <v>-16.275923700679588</v>
      </c>
      <c r="AK54" s="247">
        <f ca="1">-AK49*'Inputs &amp; Assumptions'!$L$34*DCF!AK51</f>
        <v>-14.298543143432086</v>
      </c>
      <c r="AL54" s="247">
        <f ca="1">-AL49*'Inputs &amp; Assumptions'!$L$34*DCF!AL51</f>
        <v>-12.567357413880895</v>
      </c>
      <c r="AM54" s="247">
        <f ca="1">-AM49*'Inputs &amp; Assumptions'!$L$34*DCF!AM51</f>
        <v>-9.2031776623159711</v>
      </c>
      <c r="AN54" s="247">
        <f ca="1">-AN49*'Inputs &amp; Assumptions'!$L$34*DCF!AN51</f>
        <v>-1.8478073167403264</v>
      </c>
      <c r="AO54" s="247">
        <f ca="1">-AO49*'Inputs &amp; Assumptions'!$L$34*DCF!AO51</f>
        <v>-1.3860228215237798</v>
      </c>
      <c r="AP54" s="247">
        <f ca="1">-AP49*'Inputs &amp; Assumptions'!$L$34*DCF!AP51</f>
        <v>-0.99645418848599931</v>
      </c>
      <c r="AQ54" s="247">
        <f ca="1">-AQ49*'Inputs &amp; Assumptions'!$L$34*DCF!AQ51</f>
        <v>-0.66933912680801233</v>
      </c>
      <c r="AR54" s="247">
        <f ca="1">-AR49*'Inputs &amp; Assumptions'!$L$34*DCF!AR51</f>
        <v>-0.39614828617980313</v>
      </c>
      <c r="AS54" s="247">
        <f ca="1">-AS49*'Inputs &amp; Assumptions'!$L$34*DCF!AS51</f>
        <v>-0.17513982615282811</v>
      </c>
      <c r="AT54" s="247">
        <f ca="1">-AT49*'Inputs &amp; Assumptions'!$L$34*DCF!AT51</f>
        <v>-3.9130361222356726E-2</v>
      </c>
      <c r="AU54" s="247">
        <f>-AU49*'Inputs &amp; Assumptions'!$L$34*DCF!AU51</f>
        <v>0</v>
      </c>
    </row>
    <row r="55" spans="2:47">
      <c r="B55" s="22" t="s">
        <v>328</v>
      </c>
      <c r="I55" s="248" t="s">
        <v>77</v>
      </c>
      <c r="K55" s="247">
        <f ca="1">-K51*K40</f>
        <v>-262.59588691733774</v>
      </c>
      <c r="L55" s="247">
        <f t="shared" ref="L55:AU55" ca="1" si="5">-L51*L40</f>
        <v>-260.29100610911308</v>
      </c>
      <c r="M55" s="247">
        <f t="shared" ca="1" si="5"/>
        <v>-247.73604362152707</v>
      </c>
      <c r="N55" s="247">
        <f t="shared" ca="1" si="5"/>
        <v>-228.02999580319144</v>
      </c>
      <c r="O55" s="247">
        <f t="shared" ca="1" si="5"/>
        <v>-210.5055394500724</v>
      </c>
      <c r="P55" s="247">
        <f t="shared" ca="1" si="5"/>
        <v>-194.62540259634204</v>
      </c>
      <c r="Q55" s="247">
        <f t="shared" ca="1" si="5"/>
        <v>-179.61073896422673</v>
      </c>
      <c r="R55" s="247">
        <f t="shared" ca="1" si="5"/>
        <v>-161.98301491770735</v>
      </c>
      <c r="S55" s="247">
        <f t="shared" ca="1" si="5"/>
        <v>-139.31819246611087</v>
      </c>
      <c r="T55" s="247">
        <f t="shared" ca="1" si="5"/>
        <v>-118.66135469951531</v>
      </c>
      <c r="U55" s="247">
        <f t="shared" ca="1" si="5"/>
        <v>-102.3730359921137</v>
      </c>
      <c r="V55" s="247">
        <f t="shared" ca="1" si="5"/>
        <v>-88.911595341293065</v>
      </c>
      <c r="W55" s="247">
        <f t="shared" ca="1" si="5"/>
        <v>-77.173905384377221</v>
      </c>
      <c r="X55" s="247">
        <f t="shared" ca="1" si="5"/>
        <v>-67.277436447442582</v>
      </c>
      <c r="Y55" s="247">
        <f t="shared" ca="1" si="5"/>
        <v>-58.782294464407528</v>
      </c>
      <c r="Z55" s="247">
        <f t="shared" ca="1" si="5"/>
        <v>-51.556056046792619</v>
      </c>
      <c r="AA55" s="247">
        <f t="shared" ca="1" si="5"/>
        <v>-45.110394836226625</v>
      </c>
      <c r="AB55" s="247">
        <f t="shared" ca="1" si="5"/>
        <v>-39.582886194347594</v>
      </c>
      <c r="AC55" s="247">
        <f t="shared" ca="1" si="5"/>
        <v>-34.752642792574889</v>
      </c>
      <c r="AD55" s="247">
        <f t="shared" ca="1" si="5"/>
        <v>-30.583763613714019</v>
      </c>
      <c r="AE55" s="247">
        <f t="shared" ca="1" si="5"/>
        <v>-26.826391073400188</v>
      </c>
      <c r="AF55" s="247">
        <f t="shared" ca="1" si="5"/>
        <v>-23.584501295618534</v>
      </c>
      <c r="AG55" s="247">
        <f t="shared" ca="1" si="5"/>
        <v>-20.737625201774627</v>
      </c>
      <c r="AH55" s="247">
        <f t="shared" ca="1" si="5"/>
        <v>-18.268936402706007</v>
      </c>
      <c r="AI55" s="247">
        <f t="shared" ca="1" si="5"/>
        <v>-16.034467109384657</v>
      </c>
      <c r="AJ55" s="247">
        <f t="shared" ca="1" si="5"/>
        <v>-14.099957267143321</v>
      </c>
      <c r="AK55" s="247">
        <f t="shared" ca="1" si="5"/>
        <v>-12.399136868003261</v>
      </c>
      <c r="AL55" s="247">
        <f t="shared" ca="1" si="5"/>
        <v>-10.898525338769534</v>
      </c>
      <c r="AM55" s="247">
        <f t="shared" ca="1" si="5"/>
        <v>-8.1088544687365687</v>
      </c>
      <c r="AN55" s="247">
        <f t="shared" ca="1" si="5"/>
        <v>-2.2592797741444364</v>
      </c>
      <c r="AO55" s="247">
        <f t="shared" ca="1" si="5"/>
        <v>-1.6946644267516655</v>
      </c>
      <c r="AP55" s="247">
        <f t="shared" ca="1" si="5"/>
        <v>-1.2183460761911777</v>
      </c>
      <c r="AQ55" s="247">
        <f t="shared" ca="1" si="5"/>
        <v>-0.81838855033246616</v>
      </c>
      <c r="AR55" s="247">
        <f t="shared" ca="1" si="5"/>
        <v>-0.48436317056416722</v>
      </c>
      <c r="AS55" s="247">
        <f t="shared" ca="1" si="5"/>
        <v>-0.21414022083876388</v>
      </c>
      <c r="AT55" s="247">
        <f t="shared" ca="1" si="5"/>
        <v>-4.7843967746914254E-2</v>
      </c>
      <c r="AU55" s="247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Inputs &amp; Assumptions</vt:lpstr>
      <vt:lpstr>Cost of Capital</vt:lpstr>
      <vt:lpstr>Comps</vt:lpstr>
      <vt:lpstr>Commodity Price Assumptions</vt:lpstr>
      <vt:lpstr>PD Reserves</vt:lpstr>
      <vt:lpstr>PUD Reserves</vt:lpstr>
      <vt:lpstr>NAV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Theo Pham</cp:lastModifiedBy>
  <cp:revision/>
  <dcterms:created xsi:type="dcterms:W3CDTF">2025-12-01T17:32:07Z</dcterms:created>
  <dcterms:modified xsi:type="dcterms:W3CDTF">2025-12-10T23:25:08Z</dcterms:modified>
  <cp:category/>
  <cp:contentStatus/>
</cp:coreProperties>
</file>